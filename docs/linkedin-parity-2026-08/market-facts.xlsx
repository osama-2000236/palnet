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acts" sheetId="1" state="visible" r:id="rId1"/>
    <sheet xmlns:r="http://schemas.openxmlformats.org/officeDocument/2006/relationships" name="Derivations" sheetId="2" state="visible" r:id="rId2"/>
    <sheet xmlns:r="http://schemas.openxmlformats.org/officeDocument/2006/relationships" name="Parity tally" sheetId="3" state="visible" r:id="rId3"/>
    <sheet xmlns:r="http://schemas.openxmlformats.org/officeDocument/2006/relationships" name="Owner input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Scal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F4A26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5C5A52"/>
      <sz val="9"/>
    </font>
    <font>
      <name val="Arial"/>
      <charset val="1"/>
      <family val="0"/>
      <b val="1"/>
      <sz val="10"/>
    </font>
    <font>
      <name val="Arial"/>
      <b val="1"/>
      <color rgb="003F4A26"/>
      <sz val="14"/>
    </font>
    <font>
      <name val="Arial"/>
      <color rgb="005C5A52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526030"/>
        <bgColor rgb="FF5C5A52"/>
      </patternFill>
    </fill>
    <fill>
      <patternFill patternType="solid">
        <fgColor rgb="FFF1EFE7"/>
        <bgColor rgb="FFE6EBD6"/>
      </patternFill>
    </fill>
    <fill>
      <patternFill patternType="solid">
        <fgColor rgb="FFE6EBD6"/>
        <bgColor rgb="FFF1EFE7"/>
      </patternFill>
    </fill>
    <fill>
      <patternFill patternType="solid">
        <fgColor rgb="00526030"/>
      </patternFill>
    </fill>
    <fill>
      <patternFill patternType="solid">
        <fgColor rgb="00E6EBD6"/>
      </patternFill>
    </fill>
    <fill>
      <patternFill patternType="solid">
        <fgColor rgb="00F4F6EF"/>
      </patternFill>
    </fill>
  </fills>
  <borders count="7">
    <border>
      <left/>
      <right/>
      <top/>
      <bottom/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  <border>
      <left style="thin">
        <color rgb="00D8D6CE"/>
      </left>
      <right style="thin">
        <color rgb="00D8D6CE"/>
      </right>
      <top style="thin">
        <color rgb="00D8D6CE"/>
      </top>
      <bottom style="thin">
        <color rgb="00D8D6CE"/>
      </bottom>
    </border>
    <border>
      <left/>
      <right/>
      <top style="thin">
        <color rgb="00D8D6CE"/>
      </top>
      <bottom/>
      <diagonal/>
    </border>
    <border>
      <left/>
      <right style="thin">
        <color rgb="00D8D6CE"/>
      </right>
      <top style="thin">
        <color rgb="00D8D6CE"/>
      </top>
      <bottom/>
      <diagonal/>
    </border>
    <border>
      <left/>
      <right/>
      <top style="thin">
        <color rgb="00D8D6CE"/>
      </top>
      <bottom style="thin">
        <color rgb="00D8D6CE"/>
      </bottom>
      <diagonal/>
    </border>
    <border>
      <left/>
      <right style="thin">
        <color rgb="00D8D6CE"/>
      </right>
      <top style="thin">
        <color rgb="00D8D6CE"/>
      </top>
      <bottom style="thin">
        <color rgb="00D8D6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3" fillId="6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3" fillId="7" borderId="2" pivotButton="0" quotePrefix="0" xfId="0"/>
    <xf numFmtId="0" fontId="13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26030"/>
      <rgbColor rgb="FF800080"/>
      <rgbColor rgb="FF008080"/>
      <rgbColor rgb="FFC0C0C0"/>
      <rgbColor rgb="FF808080"/>
      <rgbColor rgb="FF9999FF"/>
      <rgbColor rgb="FF993366"/>
      <rgbColor rgb="FFF1EFE7"/>
      <rgbColor rgb="FFCCFFFF"/>
      <rgbColor rgb="FF660066"/>
      <rgbColor rgb="FFFF8080"/>
      <rgbColor rgb="FF0066CC"/>
      <rgbColor rgb="FFD8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A5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A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12" min="1" max="1"/>
    <col width="15" customWidth="1" style="12" min="2" max="2"/>
    <col width="42" customWidth="1" style="12" min="3" max="3"/>
    <col width="12" customWidth="1" style="12" min="4" max="4"/>
    <col width="13" customWidth="1" style="12" min="5" max="5"/>
    <col width="14" customWidth="1" style="12" min="6" max="6"/>
    <col width="26" customWidth="1" style="12" min="7" max="7"/>
    <col width="52" customWidth="1" style="12" min="8" max="8"/>
    <col width="54" customWidth="1" style="12" min="9" max="9"/>
    <col width="16" customWidth="1" style="12" min="10" max="10"/>
  </cols>
  <sheetData>
    <row r="1" ht="17.35" customHeight="1" s="13">
      <c r="A1" s="14" t="inlineStr">
        <is>
          <t>Baydar — market evidence register</t>
        </is>
      </c>
    </row>
    <row r="2"/>
    <row r="3" ht="30" customHeight="1" s="13">
      <c r="A3" s="15" t="inlineStr">
        <is>
          <t>ID</t>
        </is>
      </c>
      <c r="B3" s="15" t="inlineStr">
        <is>
          <t>Category</t>
        </is>
      </c>
      <c r="C3" s="15" t="inlineStr">
        <is>
          <t>Fact</t>
        </is>
      </c>
      <c r="D3" s="15" t="inlineStr">
        <is>
          <t>Value</t>
        </is>
      </c>
      <c r="E3" s="15" t="inlineStr">
        <is>
          <t>Unit</t>
        </is>
      </c>
      <c r="F3" s="15" t="inlineStr">
        <is>
          <t>As of</t>
        </is>
      </c>
      <c r="G3" s="15" t="inlineStr">
        <is>
          <t>Source</t>
        </is>
      </c>
      <c r="H3" s="15" t="inlineStr">
        <is>
          <t>URL</t>
        </is>
      </c>
      <c r="I3" s="15" t="inlineStr">
        <is>
          <t>What it forces in the product</t>
        </is>
      </c>
      <c r="J3" s="15" t="inlineStr">
        <is>
          <t>Spec ref</t>
        </is>
      </c>
    </row>
    <row r="4" ht="23.85" customHeight="1" s="13">
      <c r="A4" s="16" t="inlineStr">
        <is>
          <t>F01</t>
        </is>
      </c>
      <c r="B4" s="16" t="inlineStr">
        <is>
          <t>Population</t>
        </is>
      </c>
      <c r="C4" s="16" t="inlineStr">
        <is>
          <t>Palestinians worldwide</t>
        </is>
      </c>
      <c r="D4" s="16" t="inlineStr">
        <is>
          <t>15.49</t>
        </is>
      </c>
      <c r="E4" s="16" t="inlineStr">
        <is>
          <t>million</t>
        </is>
      </c>
      <c r="F4" s="16" t="inlineStr">
        <is>
          <t>End 2025</t>
        </is>
      </c>
      <c r="G4" s="16" t="inlineStr">
        <is>
          <t>PCBS</t>
        </is>
      </c>
      <c r="H4" s="16" t="inlineStr">
        <is>
          <t>https://www.pcbs.gov.ps/site/512/default.aspx?lang=en&amp;ItemID=6137</t>
        </is>
      </c>
      <c r="I4" s="16" t="inlineStr">
        <is>
          <t>Total addressable population; sets the ceiling on every growth model</t>
        </is>
      </c>
      <c r="J4" s="16" t="inlineStr">
        <is>
          <t>§2.1</t>
        </is>
      </c>
    </row>
    <row r="5" ht="23.85" customHeight="1" s="13">
      <c r="A5" s="17" t="inlineStr">
        <is>
          <t>F02</t>
        </is>
      </c>
      <c r="B5" s="17" t="inlineStr">
        <is>
          <t>Population</t>
        </is>
      </c>
      <c r="C5" s="17" t="inlineStr">
        <is>
          <t>Resident in the State of Palestine</t>
        </is>
      </c>
      <c r="D5" s="17" t="inlineStr">
        <is>
          <t>5.56</t>
        </is>
      </c>
      <c r="E5" s="17" t="inlineStr">
        <is>
          <t>million</t>
        </is>
      </c>
      <c r="F5" s="17" t="inlineStr">
        <is>
          <t>End 2025</t>
        </is>
      </c>
      <c r="G5" s="17" t="inlineStr">
        <is>
          <t>PCBS</t>
        </is>
      </c>
      <c r="H5" s="17" t="inlineStr">
        <is>
          <t>https://www.pcbs.gov.ps/site/512/default.aspx?lang=en&amp;ItemID=6137</t>
        </is>
      </c>
      <c r="I5" s="17" t="inlineStr">
        <is>
          <t>The home market. Smaller than the diaspora, which inverts the usual product priority</t>
        </is>
      </c>
      <c r="J5" s="17" t="inlineStr">
        <is>
          <t>§2.1</t>
        </is>
      </c>
    </row>
    <row r="6" ht="23.85" customHeight="1" s="13">
      <c r="A6" s="16" t="inlineStr">
        <is>
          <t>F03</t>
        </is>
      </c>
      <c r="B6" s="16" t="inlineStr">
        <is>
          <t>Population</t>
        </is>
      </c>
      <c r="C6" s="16" t="inlineStr">
        <is>
          <t>In the 1948 territories</t>
        </is>
      </c>
      <c r="D6" s="16" t="inlineStr">
        <is>
          <t>1.86</t>
        </is>
      </c>
      <c r="E6" s="16" t="inlineStr">
        <is>
          <t>million</t>
        </is>
      </c>
      <c r="F6" s="16" t="inlineStr">
        <is>
          <t>End 2025</t>
        </is>
      </c>
      <c r="G6" s="16" t="inlineStr">
        <is>
          <t>PCBS</t>
        </is>
      </c>
      <c r="H6" s="16" t="inlineStr">
        <is>
          <t>https://www.pcbs.gov.ps/site/512/default.aspx?lang=en&amp;ItemID=6137</t>
        </is>
      </c>
      <c r="I6" s="16" t="inlineStr">
        <is>
          <t>A third market segment with different payment rails and app-store access</t>
        </is>
      </c>
      <c r="J6" s="16" t="inlineStr">
        <is>
          <t>§2.1</t>
        </is>
      </c>
    </row>
    <row r="7" ht="23.85" customHeight="1" s="13">
      <c r="A7" s="17" t="inlineStr">
        <is>
          <t>F04</t>
        </is>
      </c>
      <c r="B7" s="17" t="inlineStr">
        <is>
          <t>Population</t>
        </is>
      </c>
      <c r="C7" s="17" t="inlineStr">
        <is>
          <t>Diaspora</t>
        </is>
      </c>
      <c r="D7" s="17" t="inlineStr">
        <is>
          <t>8.82</t>
        </is>
      </c>
      <c r="E7" s="17" t="inlineStr">
        <is>
          <t>million</t>
        </is>
      </c>
      <c r="F7" s="17" t="inlineStr">
        <is>
          <t>End 2025</t>
        </is>
      </c>
      <c r="G7" s="17" t="inlineStr">
        <is>
          <t>PCBS</t>
        </is>
      </c>
      <c r="H7" s="17" t="inlineStr">
        <is>
          <t>https://arabcenterdc.org/where-do-palestinian-refugees-live-and-how-many-palestinians-are-there-in-the-world-today/</t>
        </is>
      </c>
      <c r="I7" s="17" t="inlineStr">
        <is>
          <t>1.6x the home market. Drives Profile.residenceCountry, originGovernorate, EMPLOYER_DIASPORA pricing</t>
        </is>
      </c>
      <c r="J7" s="17" t="inlineStr">
        <is>
          <t>§2.1, §5.2.3, §13.2</t>
        </is>
      </c>
    </row>
    <row r="8" ht="23.85" customHeight="1" s="13">
      <c r="A8" s="16" t="inlineStr">
        <is>
          <t>F05</t>
        </is>
      </c>
      <c r="B8" s="16" t="inlineStr">
        <is>
          <t>Population</t>
        </is>
      </c>
      <c r="C8" s="16" t="inlineStr">
        <is>
          <t>Diaspora in Arab countries</t>
        </is>
      </c>
      <c r="D8" s="16" t="inlineStr">
        <is>
          <t>6.82</t>
        </is>
      </c>
      <c r="E8" s="16" t="inlineStr">
        <is>
          <t>million</t>
        </is>
      </c>
      <c r="F8" s="16" t="inlineStr">
        <is>
          <t>End 2025</t>
        </is>
      </c>
      <c r="G8" s="16" t="inlineStr">
        <is>
          <t>PCBS</t>
        </is>
      </c>
      <c r="H8" s="16" t="inlineStr">
        <is>
          <t>https://arabcenterdc.org/where-do-palestinian-refugees-live-and-how-many-palestinians-are-there-in-the-world-today/</t>
        </is>
      </c>
      <c r="I8" s="16" t="inlineStr">
        <is>
          <t>Gulf employers are the largest diaspora hiring pool</t>
        </is>
      </c>
      <c r="J8" s="16" t="inlineStr">
        <is>
          <t>§2.1</t>
        </is>
      </c>
    </row>
    <row r="9" ht="23.85" customHeight="1" s="13">
      <c r="A9" s="17" t="inlineStr">
        <is>
          <t>F06</t>
        </is>
      </c>
      <c r="B9" s="17" t="inlineStr">
        <is>
          <t>Economy</t>
        </is>
      </c>
      <c r="C9" s="17" t="inlineStr">
        <is>
          <t>Annual remittances</t>
        </is>
      </c>
      <c r="D9" s="17" t="inlineStr">
        <is>
          <t>3.5-4.0</t>
        </is>
      </c>
      <c r="E9" s="17" t="inlineStr">
        <is>
          <t>US$ billion</t>
        </is>
      </c>
      <c r="F9" s="17" t="inlineStr">
        <is>
          <t>2025</t>
        </is>
      </c>
      <c r="G9" s="17" t="inlineStr">
        <is>
          <t>MAS / Palestinian economic press</t>
        </is>
      </c>
      <c r="H9" s="17" t="inlineStr">
        <is>
          <t>https://www.sadanews.ps/en/articles/248836.html</t>
        </is>
      </c>
      <c r="I9" s="17" t="inlineStr">
        <is>
          <t>Establishes that hard currency enters via the diaspora, not the local wage economy</t>
        </is>
      </c>
      <c r="J9" s="17" t="inlineStr">
        <is>
          <t>§2.1, §13.2</t>
        </is>
      </c>
    </row>
    <row r="10" ht="23.85" customHeight="1" s="13">
      <c r="A10" s="16" t="inlineStr">
        <is>
          <t>F07</t>
        </is>
      </c>
      <c r="B10" s="16" t="inlineStr">
        <is>
          <t>Labour</t>
        </is>
      </c>
      <c r="C10" s="16" t="inlineStr">
        <is>
          <t>West Bank unemployment rate</t>
        </is>
      </c>
      <c r="D10" s="16" t="inlineStr">
        <is>
          <t>27.5</t>
        </is>
      </c>
      <c r="E10" s="16" t="inlineStr">
        <is>
          <t>%</t>
        </is>
      </c>
      <c r="F10" s="16" t="inlineStr">
        <is>
          <t>Q4 2025</t>
        </is>
      </c>
      <c r="G10" s="16" t="inlineStr">
        <is>
          <t>PCBS LFS Q4-2025</t>
        </is>
      </c>
      <c r="H10" s="16" t="inlineStr">
        <is>
          <t>https://www.pcbs.gov.ps/post.aspx?lang=en&amp;ItemID=6161</t>
        </is>
      </c>
      <c r="I10" s="16" t="inlineStr">
        <is>
          <t>Applicant-heavy market. Baydar never sells applicant visibility (Rule 1)</t>
        </is>
      </c>
      <c r="J10" s="16" t="inlineStr">
        <is>
          <t>§2.2, §4.2</t>
        </is>
      </c>
    </row>
    <row r="11" ht="15" customHeight="1" s="13">
      <c r="A11" s="17" t="inlineStr">
        <is>
          <t>F08</t>
        </is>
      </c>
      <c r="B11" s="17" t="inlineStr">
        <is>
          <t>Labour</t>
        </is>
      </c>
      <c r="C11" s="17" t="inlineStr">
        <is>
          <t>West Bank unemployment rate</t>
        </is>
      </c>
      <c r="D11" s="17" t="inlineStr">
        <is>
          <t>28.5</t>
        </is>
      </c>
      <c r="E11" s="17" t="inlineStr">
        <is>
          <t>%</t>
        </is>
      </c>
      <c r="F11" s="17" t="inlineStr">
        <is>
          <t>Q3 2025</t>
        </is>
      </c>
      <c r="G11" s="17" t="inlineStr">
        <is>
          <t>PCBS LFS Q3-2025</t>
        </is>
      </c>
      <c r="H11" s="17" t="inlineStr">
        <is>
          <t>https://www.pcbs.gov.ps/post.aspx?lang=en&amp;ItemID=6121</t>
        </is>
      </c>
      <c r="I11" s="17" t="inlineStr">
        <is>
          <t>Trend datapoint for F07</t>
        </is>
      </c>
      <c r="J11" s="17" t="inlineStr">
        <is>
          <t>§2.2</t>
        </is>
      </c>
    </row>
    <row r="12" ht="15" customHeight="1" s="13">
      <c r="A12" s="16" t="inlineStr">
        <is>
          <t>F09</t>
        </is>
      </c>
      <c r="B12" s="16" t="inlineStr">
        <is>
          <t>Labour</t>
        </is>
      </c>
      <c r="C12" s="16" t="inlineStr">
        <is>
          <t>Unemployed persons, West Bank</t>
        </is>
      </c>
      <c r="D12" s="16" t="inlineStr">
        <is>
          <t>280</t>
        </is>
      </c>
      <c r="E12" s="16" t="inlineStr">
        <is>
          <t>thousand</t>
        </is>
      </c>
      <c r="F12" s="16" t="inlineStr">
        <is>
          <t>Q4 2025</t>
        </is>
      </c>
      <c r="G12" s="16" t="inlineStr">
        <is>
          <t>PCBS LFS Q4-2025</t>
        </is>
      </c>
      <c r="H12" s="16" t="inlineStr">
        <is>
          <t>https://www.pcbs.gov.ps/post.aspx?lang=en&amp;ItemID=6161</t>
        </is>
      </c>
      <c r="I12" s="16" t="inlineStr">
        <is>
          <t>The scarce resource is employer attention, not candidate supply</t>
        </is>
      </c>
      <c r="J12" s="16" t="inlineStr">
        <is>
          <t>§2.2, §10.1</t>
        </is>
      </c>
    </row>
    <row r="13" ht="15" customHeight="1" s="13">
      <c r="A13" s="17" t="inlineStr">
        <is>
          <t>F10</t>
        </is>
      </c>
      <c r="B13" s="17" t="inlineStr">
        <is>
          <t>Labour</t>
        </is>
      </c>
      <c r="C13" s="17" t="inlineStr">
        <is>
          <t>Employed persons, West Bank</t>
        </is>
      </c>
      <c r="D13" s="17" t="inlineStr">
        <is>
          <t>736</t>
        </is>
      </c>
      <c r="E13" s="17" t="inlineStr">
        <is>
          <t>thousand</t>
        </is>
      </c>
      <c r="F13" s="17" t="inlineStr">
        <is>
          <t>Q4 2025</t>
        </is>
      </c>
      <c r="G13" s="17" t="inlineStr">
        <is>
          <t>PCBS LFS Q4-2025</t>
        </is>
      </c>
      <c r="H13" s="17" t="inlineStr">
        <is>
          <t>https://www.pcbs.gov.ps/post.aspx?lang=en&amp;ItemID=6161</t>
        </is>
      </c>
      <c r="I13" s="17" t="inlineStr">
        <is>
          <t>Denominator for F07</t>
        </is>
      </c>
      <c r="J13" s="17" t="inlineStr">
        <is>
          <t>§2.2</t>
        </is>
      </c>
    </row>
    <row r="14" ht="23.85" customHeight="1" s="13">
      <c r="A14" s="16" t="inlineStr">
        <is>
          <t>F11</t>
        </is>
      </c>
      <c r="B14" s="16" t="inlineStr">
        <is>
          <t>Labour</t>
        </is>
      </c>
      <c r="C14" s="16" t="inlineStr">
        <is>
          <t>Youth graduate unemployment (19-29, diploma+), West Bank</t>
        </is>
      </c>
      <c r="D14" s="16" t="inlineStr">
        <is>
          <t>41.3</t>
        </is>
      </c>
      <c r="E14" s="16" t="inlineStr">
        <is>
          <t>%</t>
        </is>
      </c>
      <c r="F14" s="16" t="inlineStr">
        <is>
          <t>Q1 2026</t>
        </is>
      </c>
      <c r="G14" s="16" t="inlineStr">
        <is>
          <t>PCBS LFS Q1-2026</t>
        </is>
      </c>
      <c r="H14" s="16" t="inlineStr">
        <is>
          <t>https://www.pcbs.gov.ps/media/qzwgjttv/lfssyq12026e.pdf</t>
        </is>
      </c>
      <c r="I14" s="16" t="inlineStr">
        <is>
          <t>A CV does not discriminate here. Evidence-first profile ordering</t>
        </is>
      </c>
      <c r="J14" s="16" t="inlineStr">
        <is>
          <t>§2.2, §5.1, §5.5</t>
        </is>
      </c>
    </row>
    <row r="15" ht="15" customHeight="1" s="13">
      <c r="A15" s="17" t="inlineStr">
        <is>
          <t>F12</t>
        </is>
      </c>
      <c r="B15" s="17" t="inlineStr">
        <is>
          <t>Labour</t>
        </is>
      </c>
      <c r="C15" s="17" t="inlineStr">
        <is>
          <t>Youth graduate unemployment, males</t>
        </is>
      </c>
      <c r="D15" s="17" t="inlineStr">
        <is>
          <t>31.7</t>
        </is>
      </c>
      <c r="E15" s="17" t="inlineStr">
        <is>
          <t>%</t>
        </is>
      </c>
      <c r="F15" s="17" t="inlineStr">
        <is>
          <t>Q1 2026</t>
        </is>
      </c>
      <c r="G15" s="17" t="inlineStr">
        <is>
          <t>PCBS LFS Q1-2026</t>
        </is>
      </c>
      <c r="H15" s="17" t="inlineStr">
        <is>
          <t>https://www.pcbs.gov.ps/media/qzwgjttv/lfssyq12026e.pdf</t>
        </is>
      </c>
      <c r="I15" s="17" t="inlineStr">
        <is>
          <t>Gender split for F11</t>
        </is>
      </c>
      <c r="J15" s="17" t="inlineStr">
        <is>
          <t>§2.2</t>
        </is>
      </c>
    </row>
    <row r="16" ht="23.85" customHeight="1" s="13">
      <c r="A16" s="16" t="inlineStr">
        <is>
          <t>F13</t>
        </is>
      </c>
      <c r="B16" s="16" t="inlineStr">
        <is>
          <t>Labour</t>
        </is>
      </c>
      <c r="C16" s="16" t="inlineStr">
        <is>
          <t>Youth graduate unemployment, females</t>
        </is>
      </c>
      <c r="D16" s="16" t="inlineStr">
        <is>
          <t>49.2</t>
        </is>
      </c>
      <c r="E16" s="16" t="inlineStr">
        <is>
          <t>%</t>
        </is>
      </c>
      <c r="F16" s="16" t="inlineStr">
        <is>
          <t>Q1 2026</t>
        </is>
      </c>
      <c r="G16" s="16" t="inlineStr">
        <is>
          <t>PCBS LFS Q1-2026</t>
        </is>
      </c>
      <c r="H16" s="16" t="inlineStr">
        <is>
          <t>https://www.pcbs.gov.ps/media/qzwgjttv/lfssyq12026e.pdf</t>
        </is>
      </c>
      <c r="I16" s="16" t="inlineStr">
        <is>
          <t>Largest untapped segment. Drives the §16.4 privacy posture as a market-size decision</t>
        </is>
      </c>
      <c r="J16" s="16" t="inlineStr">
        <is>
          <t>§2.2, §16.4</t>
        </is>
      </c>
    </row>
    <row r="17" ht="15" customHeight="1" s="13">
      <c r="A17" s="17" t="inlineStr">
        <is>
          <t>F14</t>
        </is>
      </c>
      <c r="B17" s="17" t="inlineStr">
        <is>
          <t>Labour</t>
        </is>
      </c>
      <c r="C17" s="17" t="inlineStr">
        <is>
          <t>Male labour force participation, West Bank</t>
        </is>
      </c>
      <c r="D17" s="17" t="inlineStr">
        <is>
          <t>71.5</t>
        </is>
      </c>
      <c r="E17" s="17" t="inlineStr">
        <is>
          <t>%</t>
        </is>
      </c>
      <c r="F17" s="17" t="inlineStr">
        <is>
          <t>Q4 2025</t>
        </is>
      </c>
      <c r="G17" s="17" t="inlineStr">
        <is>
          <t>PCBS LFS Q4-2025</t>
        </is>
      </c>
      <c r="H17" s="17" t="inlineStr">
        <is>
          <t>https://www.pcbs.gov.ps/post.aspx?lang=en&amp;ItemID=6161</t>
        </is>
      </c>
      <c r="I17" s="17" t="inlineStr">
        <is>
          <t>Baseline for F15</t>
        </is>
      </c>
      <c r="J17" s="17" t="inlineStr">
        <is>
          <t>§2.2</t>
        </is>
      </c>
    </row>
    <row r="18" ht="23.85" customHeight="1" s="13">
      <c r="A18" s="16" t="inlineStr">
        <is>
          <t>F15</t>
        </is>
      </c>
      <c r="B18" s="16" t="inlineStr">
        <is>
          <t>Labour</t>
        </is>
      </c>
      <c r="C18" s="16" t="inlineStr">
        <is>
          <t>Female labour force participation, West Bank</t>
        </is>
      </c>
      <c r="D18" s="16" t="inlineStr">
        <is>
          <t>18.6</t>
        </is>
      </c>
      <c r="E18" s="16" t="inlineStr">
        <is>
          <t>%</t>
        </is>
      </c>
      <c r="F18" s="16" t="inlineStr">
        <is>
          <t>Q4 2025</t>
        </is>
      </c>
      <c r="G18" s="16" t="inlineStr">
        <is>
          <t>PCBS LFS Q4-2025</t>
        </is>
      </c>
      <c r="H18" s="16" t="inlineStr">
        <is>
          <t>https://www.pcbs.gov.ps/post.aspx?lang=en&amp;ItemID=6161</t>
        </is>
      </c>
      <c r="I18" s="16" t="inlineStr">
        <is>
          <t>81% of women are outside the labour force. Safety posture is market access</t>
        </is>
      </c>
      <c r="J18" s="16" t="inlineStr">
        <is>
          <t>§2.2, §16.4</t>
        </is>
      </c>
    </row>
    <row r="19" ht="23.85" customHeight="1" s="13">
      <c r="A19" s="17" t="inlineStr">
        <is>
          <t>F16</t>
        </is>
      </c>
      <c r="B19" s="17" t="inlineStr">
        <is>
          <t>Connectivity</t>
        </is>
      </c>
      <c r="C19" s="17" t="inlineStr">
        <is>
          <t>Palestinians without internet access</t>
        </is>
      </c>
      <c r="D19" s="17" t="inlineStr">
        <is>
          <t>39</t>
        </is>
      </c>
      <c r="E19" s="17" t="inlineStr">
        <is>
          <t>%</t>
        </is>
      </c>
      <c r="F19" s="17" t="inlineStr">
        <is>
          <t>2025</t>
        </is>
      </c>
      <c r="G19" s="17" t="inlineStr">
        <is>
          <t>Sector reporting (TS2)</t>
        </is>
      </c>
      <c r="H19" s="17" t="inlineStr">
        <is>
          <t>https://ts2.tech/en/internet-access-in-palestine-west-bank-and-gaza/</t>
        </is>
      </c>
      <c r="I19" s="17" t="inlineStr">
        <is>
          <t>SMS is a first-class channel, not a fallback. Email over push</t>
        </is>
      </c>
      <c r="J19" s="17" t="inlineStr">
        <is>
          <t>§2.3, §18.2</t>
        </is>
      </c>
    </row>
    <row r="20" ht="35.05" customHeight="1" s="13">
      <c r="A20" s="16" t="inlineStr">
        <is>
          <t>F17</t>
        </is>
      </c>
      <c r="B20" s="16" t="inlineStr">
        <is>
          <t>Connectivity</t>
        </is>
      </c>
      <c r="C20" s="16" t="inlineStr">
        <is>
          <t>Gaza mobile towers offline</t>
        </is>
      </c>
      <c r="D20" s="16" t="inlineStr">
        <is>
          <t>64</t>
        </is>
      </c>
      <c r="E20" s="16" t="inlineStr">
        <is>
          <t>%</t>
        </is>
      </c>
      <c r="F20" s="16" t="inlineStr">
        <is>
          <t>2025</t>
        </is>
      </c>
      <c r="G20" s="16" t="inlineStr">
        <is>
          <t>Sector reporting / MAS</t>
        </is>
      </c>
      <c r="H20" s="16" t="inlineStr">
        <is>
          <t>https://mas.ps/cached_uploads/download/2025/03/26/destruction-gaza-telecommunications-2025-eng-1742996508.pdf</t>
        </is>
      </c>
      <c r="I20" s="16" t="inlineStr">
        <is>
          <t>Offline-first is P1, before anything depends on it</t>
        </is>
      </c>
      <c r="J20" s="16" t="inlineStr">
        <is>
          <t>§2.3, §15</t>
        </is>
      </c>
    </row>
    <row r="21" ht="23.85" customHeight="1" s="13">
      <c r="A21" s="17" t="inlineStr">
        <is>
          <t>F18</t>
        </is>
      </c>
      <c r="B21" s="17" t="inlineStr">
        <is>
          <t>Connectivity</t>
        </is>
      </c>
      <c r="C21" s="17" t="inlineStr">
        <is>
          <t>Gaza mobile data generation</t>
        </is>
      </c>
      <c r="D21" s="17" t="inlineStr">
        <is>
          <t>2G</t>
        </is>
      </c>
      <c r="E21" s="17" t="inlineStr">
        <is>
          <t>generation</t>
        </is>
      </c>
      <c r="F21" s="17" t="inlineStr">
        <is>
          <t>2025</t>
        </is>
      </c>
      <c r="G21" s="17" t="inlineStr">
        <is>
          <t>Operator reporting</t>
        </is>
      </c>
      <c r="H21" s="17" t="inlineStr">
        <is>
          <t>https://ts2.tech/en/internet-access-in-palestine-west-bank-and-gaza/</t>
        </is>
      </c>
      <c r="I21" s="17" t="inlineStr">
        <is>
          <t>THE binding technical constraint. 30 kbit/s =&gt; 24 KB costs 6.4 s</t>
        </is>
      </c>
      <c r="J21" s="17" t="inlineStr">
        <is>
          <t>§2.3, §15.2</t>
        </is>
      </c>
    </row>
    <row r="22" ht="15" customHeight="1" s="13">
      <c r="A22" s="16" t="inlineStr">
        <is>
          <t>F19</t>
        </is>
      </c>
      <c r="B22" s="16" t="inlineStr">
        <is>
          <t>Connectivity</t>
        </is>
      </c>
      <c r="C22" s="16" t="inlineStr">
        <is>
          <t>West Bank 4G approval</t>
        </is>
      </c>
      <c r="D22" s="16" t="inlineStr">
        <is>
          <t>Jan 2026</t>
        </is>
      </c>
      <c r="E22" s="16" t="inlineStr">
        <is>
          <t>date</t>
        </is>
      </c>
      <c r="F22" s="16" t="inlineStr">
        <is>
          <t>Jan 2026</t>
        </is>
      </c>
      <c r="G22" s="16" t="inlineStr">
        <is>
          <t>JPost / operator reporting</t>
        </is>
      </c>
      <c r="H22" s="16" t="inlineStr">
        <is>
          <t>https://www.jpost.com/middle-east/article-882496</t>
        </is>
      </c>
      <c r="I22" s="16" t="inlineStr">
        <is>
          <t>Rollout stated as up to six months; do not assume it is complete</t>
        </is>
      </c>
      <c r="J22" s="16" t="inlineStr">
        <is>
          <t>§2.3</t>
        </is>
      </c>
    </row>
    <row r="23" ht="23.85" customHeight="1" s="13">
      <c r="A23" s="17" t="inlineStr">
        <is>
          <t>F20</t>
        </is>
      </c>
      <c r="B23" s="17" t="inlineStr">
        <is>
          <t>Connectivity</t>
        </is>
      </c>
      <c r="C23" s="17" t="inlineStr">
        <is>
          <t>5G spectrum available to Palestinian operators</t>
        </is>
      </c>
      <c r="D23" s="17" t="inlineStr">
        <is>
          <t>0</t>
        </is>
      </c>
      <c r="E23" s="17" t="inlineStr">
        <is>
          <t>MHz</t>
        </is>
      </c>
      <c r="F23" s="17" t="inlineStr">
        <is>
          <t>2025</t>
        </is>
      </c>
      <c r="G23" s="17" t="inlineStr">
        <is>
          <t>Al-Shabaka</t>
        </is>
      </c>
      <c r="H23" s="17" t="inlineStr">
        <is>
          <t>https://al-shabaka.org/briefs/ict-in-palestine-challenging-power-dynamics-and-limitations/</t>
        </is>
      </c>
      <c r="I23" s="17" t="inlineStr">
        <is>
          <t>No headroom is coming. The budgets are permanent, not transitional</t>
        </is>
      </c>
      <c r="J23" s="17" t="inlineStr">
        <is>
          <t>§2.3, §15.2</t>
        </is>
      </c>
    </row>
    <row r="24" ht="15" customHeight="1" s="13">
      <c r="A24" s="16" t="inlineStr">
        <is>
          <t>F21</t>
        </is>
      </c>
      <c r="B24" s="16" t="inlineStr">
        <is>
          <t>Connectivity</t>
        </is>
      </c>
      <c r="C24" s="16" t="inlineStr">
        <is>
          <t>Active mobile subscriptions</t>
        </is>
      </c>
      <c r="D24" s="16" t="inlineStr">
        <is>
          <t>4.4</t>
        </is>
      </c>
      <c r="E24" s="16" t="inlineStr">
        <is>
          <t>million</t>
        </is>
      </c>
      <c r="F24" s="16" t="inlineStr">
        <is>
          <t>2022</t>
        </is>
      </c>
      <c r="G24" s="16" t="inlineStr">
        <is>
          <t>Sector reporting</t>
        </is>
      </c>
      <c r="H24" s="16" t="inlineStr">
        <is>
          <t>https://en.wikipedia.org/wiki/Communications_in_Palestine</t>
        </is>
      </c>
      <c r="I24" s="16" t="inlineStr">
        <is>
          <t>Mobile-first is not a preference, it is the only access path for most</t>
        </is>
      </c>
      <c r="J24" s="16" t="inlineStr">
        <is>
          <t>§2.3</t>
        </is>
      </c>
    </row>
    <row r="25" ht="23.85" customHeight="1" s="13">
      <c r="A25" s="17" t="inlineStr">
        <is>
          <t>F22</t>
        </is>
      </c>
      <c r="B25" s="17" t="inlineStr">
        <is>
          <t>Connectivity</t>
        </is>
      </c>
      <c r="C25" s="17" t="inlineStr">
        <is>
          <t>Jawwal subscribers</t>
        </is>
      </c>
      <c r="D25" s="17" t="inlineStr">
        <is>
          <t>3.0</t>
        </is>
      </c>
      <c r="E25" s="17" t="inlineStr">
        <is>
          <t>million</t>
        </is>
      </c>
      <c r="F25" s="17" t="inlineStr">
        <is>
          <t>2025</t>
        </is>
      </c>
      <c r="G25" s="17" t="inlineStr">
        <is>
          <t>Operator</t>
        </is>
      </c>
      <c r="H25" s="17" t="inlineStr">
        <is>
          <t>https://www.mordorintelligence.com/industry-reports/palestine-telecom-mno-market</t>
        </is>
      </c>
      <c r="I25" s="17" t="inlineStr">
        <is>
          <t>SMS provider selection (owner-input #1)</t>
        </is>
      </c>
      <c r="J25" s="17" t="inlineStr">
        <is>
          <t>§2.3, §18.4</t>
        </is>
      </c>
    </row>
    <row r="26" ht="23.85" customHeight="1" s="13">
      <c r="A26" s="16" t="inlineStr">
        <is>
          <t>F23</t>
        </is>
      </c>
      <c r="B26" s="16" t="inlineStr">
        <is>
          <t>Connectivity</t>
        </is>
      </c>
      <c r="C26" s="16" t="inlineStr">
        <is>
          <t>Ooredoo subscribers</t>
        </is>
      </c>
      <c r="D26" s="16" t="inlineStr">
        <is>
          <t>1.5</t>
        </is>
      </c>
      <c r="E26" s="16" t="inlineStr">
        <is>
          <t>million</t>
        </is>
      </c>
      <c r="F26" s="16" t="inlineStr">
        <is>
          <t>2025</t>
        </is>
      </c>
      <c r="G26" s="16" t="inlineStr">
        <is>
          <t>Operator</t>
        </is>
      </c>
      <c r="H26" s="16" t="inlineStr">
        <is>
          <t>https://www.mordorintelligence.com/industry-reports/palestine-telecom-mno-market</t>
        </is>
      </c>
      <c r="I26" s="16" t="inlineStr">
        <is>
          <t>SMS provider selection (owner-input #1)</t>
        </is>
      </c>
      <c r="J26" s="16" t="inlineStr">
        <is>
          <t>§2.3, §18.4</t>
        </is>
      </c>
    </row>
    <row r="27" ht="23.85" customHeight="1" s="13">
      <c r="A27" s="17" t="inlineStr">
        <is>
          <t>F24</t>
        </is>
      </c>
      <c r="B27" s="17" t="inlineStr">
        <is>
          <t>Payments</t>
        </is>
      </c>
      <c r="C27" s="17" t="inlineStr">
        <is>
          <t>Jawwal Pay PMA licence</t>
        </is>
      </c>
      <c r="D27" s="17" t="inlineStr">
        <is>
          <t>May 2020</t>
        </is>
      </c>
      <c r="E27" s="17" t="inlineStr">
        <is>
          <t>date</t>
        </is>
      </c>
      <c r="F27" s="17" t="inlineStr">
        <is>
          <t>2020</t>
        </is>
      </c>
      <c r="G27" s="17" t="inlineStr">
        <is>
          <t>Jawwal Pay</t>
        </is>
      </c>
      <c r="H27" s="17" t="inlineStr">
        <is>
          <t>https://www.jawwalpay.ps/en/about-us</t>
        </is>
      </c>
      <c r="I27" s="17" t="inlineStr">
        <is>
          <t>First final PMA licence. Adapter required; env keys already exist, adapter does not</t>
        </is>
      </c>
      <c r="J27" s="17" t="inlineStr">
        <is>
          <t>§2.4, §13.4</t>
        </is>
      </c>
    </row>
    <row r="28" ht="15" customHeight="1" s="13">
      <c r="A28" s="16" t="inlineStr">
        <is>
          <t>F25</t>
        </is>
      </c>
      <c r="B28" s="16" t="inlineStr">
        <is>
          <t>Payments</t>
        </is>
      </c>
      <c r="C28" s="16" t="inlineStr">
        <is>
          <t>PalPay (Mahfazati) e-wallet</t>
        </is>
      </c>
      <c r="D28" s="16" t="inlineStr">
        <is>
          <t>Licensed</t>
        </is>
      </c>
      <c r="E28" s="16" t="inlineStr">
        <is>
          <t>status</t>
        </is>
      </c>
      <c r="F28" s="16" t="inlineStr">
        <is>
          <t>2025</t>
        </is>
      </c>
      <c r="G28" s="16" t="inlineStr">
        <is>
          <t>PalPay / Bank of Palestine</t>
        </is>
      </c>
      <c r="H28" s="16" t="inlineStr">
        <is>
          <t>https://www.palpay.ps/en/who-we-are</t>
        </is>
      </c>
      <c r="I28" s="16" t="inlineStr">
        <is>
          <t>Bank of Palestine subsidiary. Second wallet adapter</t>
        </is>
      </c>
      <c r="J28" s="16" t="inlineStr">
        <is>
          <t>§2.4, §13.4</t>
        </is>
      </c>
    </row>
    <row r="29" ht="35.05" customHeight="1" s="13">
      <c r="A29" s="17" t="inlineStr">
        <is>
          <t>F26</t>
        </is>
      </c>
      <c r="B29" s="17" t="inlineStr">
        <is>
          <t>Payments</t>
        </is>
      </c>
      <c r="C29" s="17" t="inlineStr">
        <is>
          <t>Wallet operators active in Gaza</t>
        </is>
      </c>
      <c r="D29" s="17" t="inlineStr">
        <is>
          <t>Both</t>
        </is>
      </c>
      <c r="E29" s="17" t="inlineStr">
        <is>
          <t>status</t>
        </is>
      </c>
      <c r="F29" s="17" t="inlineStr">
        <is>
          <t>2025</t>
        </is>
      </c>
      <c r="G29" s="17" t="inlineStr">
        <is>
          <t>UNDP PAPP</t>
        </is>
      </c>
      <c r="H29" s="17" t="inlineStr">
        <is>
          <t>https://www.undp.org/papp/press-releases/undp-partners-leading-digital-payment-service-providers-strengthen-digital-financial-solutions-gaza</t>
        </is>
      </c>
      <c r="I29" s="17" t="inlineStr">
        <is>
          <t>Gaza members can pay. The rail exists; the adapter is what is missing</t>
        </is>
      </c>
      <c r="J29" s="17" t="inlineStr">
        <is>
          <t>§2.4, §13.4</t>
        </is>
      </c>
    </row>
    <row r="30" ht="23.85" customHeight="1" s="13">
      <c r="A30" s="16" t="inlineStr">
        <is>
          <t>F27</t>
        </is>
      </c>
      <c r="B30" s="16" t="inlineStr">
        <is>
          <t>Payments</t>
        </is>
      </c>
      <c r="C30" s="16" t="inlineStr">
        <is>
          <t>Apple ID country list includes Palestine</t>
        </is>
      </c>
      <c r="D30" s="16" t="inlineStr">
        <is>
          <t>No</t>
        </is>
      </c>
      <c r="E30" s="16" t="inlineStr">
        <is>
          <t>boolean</t>
        </is>
      </c>
      <c r="F30" s="16" t="inlineStr">
        <is>
          <t>2025</t>
        </is>
      </c>
      <c r="G30" s="16" t="inlineStr">
        <is>
          <t>Apple support community</t>
        </is>
      </c>
      <c r="H30" s="16" t="inlineStr">
        <is>
          <t>https://discussions.apple.com/thread/7002363</t>
        </is>
      </c>
      <c r="I30" s="16" t="inlineStr">
        <is>
          <t>No in-app purchase for PS residents. All conversion happens on the web</t>
        </is>
      </c>
      <c r="J30" s="16" t="inlineStr">
        <is>
          <t>§2.4, §13.3</t>
        </is>
      </c>
    </row>
    <row r="31" ht="23.85" customHeight="1" s="13">
      <c r="A31" s="17" t="inlineStr">
        <is>
          <t>F28</t>
        </is>
      </c>
      <c r="B31" s="17" t="inlineStr">
        <is>
          <t>Wages</t>
        </is>
      </c>
      <c r="C31" s="17" t="inlineStr">
        <is>
          <t>Statutory minimum wage, monthly</t>
        </is>
      </c>
      <c r="D31" s="17" t="inlineStr">
        <is>
          <t>1880</t>
        </is>
      </c>
      <c r="E31" s="17" t="inlineStr">
        <is>
          <t>ILS</t>
        </is>
      </c>
      <c r="F31" s="17" t="inlineStr">
        <is>
          <t>In force since 2022</t>
        </is>
      </c>
      <c r="G31" s="17" t="inlineStr">
        <is>
          <t>CoM Resolution No. 4 of 2021 / ILO</t>
        </is>
      </c>
      <c r="H31" s="17" t="inlineStr">
        <is>
          <t>https://www.ilo.org/resource/news/new-employment-strategy-and-minimum-wage-occupied-palestinian-territory</t>
        </is>
      </c>
      <c r="I31" s="17" t="inlineStr">
        <is>
          <t>Every Baydar price is a percentage of this. Already in minimum-wage.ts</t>
        </is>
      </c>
      <c r="J31" s="17" t="inlineStr">
        <is>
          <t>§2.4, §13.2</t>
        </is>
      </c>
    </row>
    <row r="32" ht="23.85" customHeight="1" s="13">
      <c r="A32" s="16" t="inlineStr">
        <is>
          <t>F29</t>
        </is>
      </c>
      <c r="B32" s="16" t="inlineStr">
        <is>
          <t>Wages</t>
        </is>
      </c>
      <c r="C32" s="16" t="inlineStr">
        <is>
          <t>Statutory minimum wage, daily</t>
        </is>
      </c>
      <c r="D32" s="16" t="inlineStr">
        <is>
          <t>85</t>
        </is>
      </c>
      <c r="E32" s="16" t="inlineStr">
        <is>
          <t>ILS</t>
        </is>
      </c>
      <c r="F32" s="16" t="inlineStr">
        <is>
          <t>In force since 2022</t>
        </is>
      </c>
      <c r="G32" s="16" t="inlineStr">
        <is>
          <t>CoM Resolution No. 4 of 2021</t>
        </is>
      </c>
      <c r="H32" s="16" t="inlineStr">
        <is>
          <t>https://wageindicator.org/salary/minimum-wage/palestine</t>
        </is>
      </c>
      <c r="I32" s="16" t="inlineStr">
        <is>
          <t>Binds any DAILY engagement. Blocks below-floor service listings</t>
        </is>
      </c>
      <c r="J32" s="16" t="inlineStr">
        <is>
          <t>§2.4, §11.3</t>
        </is>
      </c>
    </row>
    <row r="33" ht="23.85" customHeight="1" s="13">
      <c r="A33" s="17" t="inlineStr">
        <is>
          <t>F30</t>
        </is>
      </c>
      <c r="B33" s="17" t="inlineStr">
        <is>
          <t>Wages</t>
        </is>
      </c>
      <c r="C33" s="17" t="inlineStr">
        <is>
          <t>Statutory minimum wage, hourly</t>
        </is>
      </c>
      <c r="D33" s="17" t="inlineStr">
        <is>
          <t>10.5</t>
        </is>
      </c>
      <c r="E33" s="17" t="inlineStr">
        <is>
          <t>ILS</t>
        </is>
      </c>
      <c r="F33" s="17" t="inlineStr">
        <is>
          <t>In force since 2022</t>
        </is>
      </c>
      <c r="G33" s="17" t="inlineStr">
        <is>
          <t>CoM Resolution No. 4 of 2021</t>
        </is>
      </c>
      <c r="H33" s="17" t="inlineStr">
        <is>
          <t>https://wageindicator.org/salary/minimum-wage/palestine</t>
        </is>
      </c>
      <c r="I33" s="17" t="inlineStr">
        <is>
          <t>Binds any HOURLY engagement</t>
        </is>
      </c>
      <c r="J33" s="17" t="inlineStr">
        <is>
          <t>§2.4, §11.3</t>
        </is>
      </c>
    </row>
    <row r="34" ht="15" customHeight="1" s="13">
      <c r="A34" s="16" t="inlineStr">
        <is>
          <t>F31</t>
        </is>
      </c>
      <c r="B34" s="16" t="inlineStr">
        <is>
          <t>ICT</t>
        </is>
      </c>
      <c r="C34" s="16" t="inlineStr">
        <is>
          <t>ICT companies</t>
        </is>
      </c>
      <c r="D34" s="16" t="inlineStr">
        <is>
          <t>500</t>
        </is>
      </c>
      <c r="E34" s="16" t="inlineStr">
        <is>
          <t>+ companies</t>
        </is>
      </c>
      <c r="F34" s="16" t="inlineStr">
        <is>
          <t>2025</t>
        </is>
      </c>
      <c r="G34" s="16" t="inlineStr">
        <is>
          <t>PITA</t>
        </is>
      </c>
      <c r="H34" s="16" t="inlineStr">
        <is>
          <t>https://www.pita.ps/en</t>
        </is>
      </c>
      <c r="I34" s="16" t="inlineStr">
        <is>
          <t>The export vertical. Highest-value services segment</t>
        </is>
      </c>
      <c r="J34" s="16" t="inlineStr">
        <is>
          <t>§2.5, §11.1</t>
        </is>
      </c>
    </row>
    <row r="35" ht="15" customHeight="1" s="13">
      <c r="A35" s="17" t="inlineStr">
        <is>
          <t>F32</t>
        </is>
      </c>
      <c r="B35" s="17" t="inlineStr">
        <is>
          <t>ICT</t>
        </is>
      </c>
      <c r="C35" s="17" t="inlineStr">
        <is>
          <t>ICT employees</t>
        </is>
      </c>
      <c r="D35" s="17" t="inlineStr">
        <is>
          <t>13500</t>
        </is>
      </c>
      <c r="E35" s="17" t="inlineStr">
        <is>
          <t>people</t>
        </is>
      </c>
      <c r="F35" s="17" t="inlineStr">
        <is>
          <t>2025</t>
        </is>
      </c>
      <c r="G35" s="17" t="inlineStr">
        <is>
          <t>PITA</t>
        </is>
      </c>
      <c r="H35" s="17" t="inlineStr">
        <is>
          <t>https://www.pita.ps/en</t>
        </is>
      </c>
      <c r="I35" s="17" t="inlineStr">
        <is>
          <t>Sizes the professional-services segment</t>
        </is>
      </c>
      <c r="J35" s="17" t="inlineStr">
        <is>
          <t>§2.5</t>
        </is>
      </c>
    </row>
    <row r="36" ht="15" customHeight="1" s="13">
      <c r="A36" s="16" t="inlineStr">
        <is>
          <t>F33</t>
        </is>
      </c>
      <c r="B36" s="16" t="inlineStr">
        <is>
          <t>ICT</t>
        </is>
      </c>
      <c r="C36" s="16" t="inlineStr">
        <is>
          <t>Freelancers</t>
        </is>
      </c>
      <c r="D36" s="16" t="inlineStr">
        <is>
          <t>10000</t>
        </is>
      </c>
      <c r="E36" s="16" t="inlineStr">
        <is>
          <t>+ people</t>
        </is>
      </c>
      <c r="F36" s="16" t="inlineStr">
        <is>
          <t>2025</t>
        </is>
      </c>
      <c r="G36" s="16" t="inlineStr">
        <is>
          <t>PITA</t>
        </is>
      </c>
      <c r="H36" s="16" t="inlineStr">
        <is>
          <t>http://home.pita.ps/wp/the-palestinian-ict-sector-2</t>
        </is>
      </c>
      <c r="I36" s="16" t="inlineStr">
        <is>
          <t>Directly sizes WS-07 (services). Shortest path to revenue</t>
        </is>
      </c>
      <c r="J36" s="16" t="inlineStr">
        <is>
          <t>§2.5, §11.1</t>
        </is>
      </c>
    </row>
    <row r="37" ht="15" customHeight="1" s="13">
      <c r="A37" s="17" t="inlineStr">
        <is>
          <t>F34</t>
        </is>
      </c>
      <c r="B37" s="17" t="inlineStr">
        <is>
          <t>ICT</t>
        </is>
      </c>
      <c r="C37" s="17" t="inlineStr">
        <is>
          <t>ICT share of GDP</t>
        </is>
      </c>
      <c r="D37" s="17" t="inlineStr">
        <is>
          <t>5-7</t>
        </is>
      </c>
      <c r="E37" s="17" t="inlineStr">
        <is>
          <t>%</t>
        </is>
      </c>
      <c r="F37" s="17" t="inlineStr">
        <is>
          <t>2025</t>
        </is>
      </c>
      <c r="G37" s="17" t="inlineStr">
        <is>
          <t>PITA</t>
        </is>
      </c>
      <c r="H37" s="17" t="inlineStr">
        <is>
          <t>http://home.pita.ps/wp/ict-sector-profile</t>
        </is>
      </c>
      <c r="I37" s="17" t="inlineStr">
        <is>
          <t>Sector materiality</t>
        </is>
      </c>
      <c r="J37" s="17" t="inlineStr">
        <is>
          <t>§2.5</t>
        </is>
      </c>
    </row>
    <row r="38" ht="15" customHeight="1" s="13">
      <c r="A38" s="16" t="inlineStr">
        <is>
          <t>F35</t>
        </is>
      </c>
      <c r="B38" s="16" t="inlineStr">
        <is>
          <t>ICT</t>
        </is>
      </c>
      <c r="C38" s="16" t="inlineStr">
        <is>
          <t>ICT annual value added</t>
        </is>
      </c>
      <c r="D38" s="16" t="inlineStr">
        <is>
          <t>&gt;500</t>
        </is>
      </c>
      <c r="E38" s="16" t="inlineStr">
        <is>
          <t>US$ million</t>
        </is>
      </c>
      <c r="F38" s="16" t="inlineStr">
        <is>
          <t>2025</t>
        </is>
      </c>
      <c r="G38" s="16" t="inlineStr">
        <is>
          <t>PITA</t>
        </is>
      </c>
      <c r="H38" s="16" t="inlineStr">
        <is>
          <t>http://home.pita.ps/wp/ict-sector-profile</t>
        </is>
      </c>
      <c r="I38" s="16" t="inlineStr">
        <is>
          <t>Sector materiality</t>
        </is>
      </c>
      <c r="J38" s="16" t="inlineStr">
        <is>
          <t>§2.5</t>
        </is>
      </c>
    </row>
    <row r="39" ht="23.85" customHeight="1" s="13">
      <c r="A39" s="17" t="inlineStr">
        <is>
          <t>F36</t>
        </is>
      </c>
      <c r="B39" s="17" t="inlineStr">
        <is>
          <t>ICT</t>
        </is>
      </c>
      <c r="C39" s="17" t="inlineStr">
        <is>
          <t>Exports as share of IT/BPS activity</t>
        </is>
      </c>
      <c r="D39" s="17" t="inlineStr">
        <is>
          <t>56</t>
        </is>
      </c>
      <c r="E39" s="17" t="inlineStr">
        <is>
          <t>%</t>
        </is>
      </c>
      <c r="F39" s="17" t="inlineStr">
        <is>
          <t>2023</t>
        </is>
      </c>
      <c r="G39" s="17" t="inlineStr">
        <is>
          <t>PITA Outsourcing Guide</t>
        </is>
      </c>
      <c r="H39" s="17" t="inlineStr">
        <is>
          <t>https://www.pita.ps/public/files/Files/ICT-Guide-Palestine_2023_stf-16-04_final_web.pdf</t>
        </is>
      </c>
      <c r="I39" s="17" t="inlineStr">
        <is>
          <t>These members already earn hard currency; USD pricing is viable for them</t>
        </is>
      </c>
      <c r="J39" s="17" t="inlineStr">
        <is>
          <t>§2.5, §13.2</t>
        </is>
      </c>
    </row>
    <row r="40" ht="23.85" customHeight="1" s="13">
      <c r="A40" s="16" t="inlineStr">
        <is>
          <t>F37</t>
        </is>
      </c>
      <c r="B40" s="16" t="inlineStr">
        <is>
          <t>ICT</t>
        </is>
      </c>
      <c r="C40" s="16" t="inlineStr">
        <is>
          <t>ICT service exports</t>
        </is>
      </c>
      <c r="D40" s="16" t="inlineStr">
        <is>
          <t>91.0</t>
        </is>
      </c>
      <c r="E40" s="16" t="inlineStr">
        <is>
          <t>US$ million</t>
        </is>
      </c>
      <c r="F40" s="16" t="inlineStr">
        <is>
          <t>2024</t>
        </is>
      </c>
      <c r="G40" s="16" t="inlineStr">
        <is>
          <t>World Bank</t>
        </is>
      </c>
      <c r="H40" s="16" t="inlineStr">
        <is>
          <t>https://tradingeconomics.com/west-bank-and-gaza/ict-service-exports-bop-current-us$-wb-data.html</t>
        </is>
      </c>
      <c r="I40" s="16" t="inlineStr">
        <is>
          <t>Independent check on F36</t>
        </is>
      </c>
      <c r="J40" s="16" t="inlineStr">
        <is>
          <t>§2.5</t>
        </is>
      </c>
    </row>
    <row r="41" ht="35.05" customHeight="1" s="13">
      <c r="A41" s="17" t="inlineStr">
        <is>
          <t>F38</t>
        </is>
      </c>
      <c r="B41" s="17" t="inlineStr">
        <is>
          <t>Credentialing</t>
        </is>
      </c>
      <c r="C41" s="17" t="inlineStr">
        <is>
          <t>Audit practice licensing authority</t>
        </is>
      </c>
      <c r="D41" s="17" t="inlineStr">
        <is>
          <t>مجلس مهنة تدقيق الحسابات</t>
        </is>
      </c>
      <c r="E41" s="17" t="inlineStr">
        <is>
          <t>body</t>
        </is>
      </c>
      <c r="F41" s="17" t="inlineStr">
        <is>
          <t>Law No. 9 of 2004</t>
        </is>
      </c>
      <c r="G41" s="17" t="inlineStr">
        <is>
          <t>bopa.ps</t>
        </is>
      </c>
      <c r="H41" s="17" t="inlineStr">
        <is>
          <t>https://www.bopa.ps</t>
        </is>
      </c>
      <c r="I41" s="17" t="inlineStr">
        <is>
          <t>Licence verification target; Baydar never invents a rank beside it</t>
        </is>
      </c>
      <c r="J41" s="17" t="inlineStr">
        <is>
          <t>§2.6, §5.4.2</t>
        </is>
      </c>
    </row>
    <row r="42" ht="23.85" customHeight="1" s="13">
      <c r="A42" s="16" t="inlineStr">
        <is>
          <t>F39</t>
        </is>
      </c>
      <c r="B42" s="16" t="inlineStr">
        <is>
          <t>Credentialing</t>
        </is>
      </c>
      <c r="C42" s="16" t="inlineStr">
        <is>
          <t>PACPA members</t>
        </is>
      </c>
      <c r="D42" s="16" t="inlineStr">
        <is>
          <t>350</t>
        </is>
      </c>
      <c r="E42" s="16" t="inlineStr">
        <is>
          <t>+ members</t>
        </is>
      </c>
      <c r="F42" s="16" t="inlineStr">
        <is>
          <t>2025</t>
        </is>
      </c>
      <c r="G42" s="16" t="inlineStr">
        <is>
          <t>PACPA</t>
        </is>
      </c>
      <c r="H42" s="16" t="inlineStr">
        <is>
          <t>https://www.pacpa.ps</t>
        </is>
      </c>
      <c r="I42" s="16" t="inlineStr">
        <is>
          <t>Split مزاولين / غير مزاولين -&gt; PracticeStatus enum is already correct</t>
        </is>
      </c>
      <c r="J42" s="16" t="inlineStr">
        <is>
          <t>§2.6</t>
        </is>
      </c>
    </row>
    <row r="43" ht="35.05" customHeight="1" s="13">
      <c r="A43" s="17" t="inlineStr">
        <is>
          <t>F40</t>
        </is>
      </c>
      <c r="B43" s="17" t="inlineStr">
        <is>
          <t>Credentialing</t>
        </is>
      </c>
      <c r="C43" s="17" t="inlineStr">
        <is>
          <t>Bar association portal serves</t>
        </is>
      </c>
      <c r="D43" s="17" t="inlineStr">
        <is>
          <t>المحامين المزاولين والمتدربين</t>
        </is>
      </c>
      <c r="E43" s="17" t="inlineStr">
        <is>
          <t>status vocabulary</t>
        </is>
      </c>
      <c r="F43" s="17" t="inlineStr">
        <is>
          <t>2025</t>
        </is>
      </c>
      <c r="G43" s="17" t="inlineStr">
        <is>
          <t>pbaps.ps</t>
        </is>
      </c>
      <c r="H43" s="17" t="inlineStr">
        <is>
          <t>https://www.pbaps.ps</t>
        </is>
      </c>
      <c r="I43" s="17" t="inlineStr">
        <is>
          <t>متدرّب -&gt; مزاول -&gt; غير مزاول is the professions' own model, already in the schema</t>
        </is>
      </c>
      <c r="J43" s="17" t="inlineStr">
        <is>
          <t>§2.6</t>
        </is>
      </c>
    </row>
    <row r="44" ht="23.85" customHeight="1" s="13">
      <c r="A44" s="16" t="inlineStr">
        <is>
          <t>F41</t>
        </is>
      </c>
      <c r="B44" s="16" t="inlineStr">
        <is>
          <t>Credentialing</t>
        </is>
      </c>
      <c r="C44" s="16" t="inlineStr">
        <is>
          <t>Occupational classification reference</t>
        </is>
      </c>
      <c r="D44" s="16" t="inlineStr">
        <is>
          <t>2993</t>
        </is>
      </c>
      <c r="E44" s="16" t="inlineStr">
        <is>
          <t>occupations</t>
        </is>
      </c>
      <c r="F44" s="16" t="inlineStr">
        <is>
          <t>2021</t>
        </is>
      </c>
      <c r="G44" s="16" t="inlineStr">
        <is>
          <t>التصنيف الأردني المعياري للمهن</t>
        </is>
      </c>
      <c r="H44" s="16" t="inlineStr">
        <is>
          <t>https://sajjil.gov.jo/soc</t>
        </is>
      </c>
      <c r="I44" s="16" t="inlineStr">
        <is>
          <t>ISCO-aligned; the reference the Palestinian NQF committee works from</t>
        </is>
      </c>
      <c r="J44" s="16" t="inlineStr">
        <is>
          <t>§2.6</t>
        </is>
      </c>
    </row>
    <row r="45" ht="15" customHeight="1" s="13">
      <c r="A45" s="17" t="inlineStr">
        <is>
          <t>F42</t>
        </is>
      </c>
      <c r="B45" s="17" t="inlineStr">
        <is>
          <t>Credentialing</t>
        </is>
      </c>
      <c r="C45" s="17" t="inlineStr">
        <is>
          <t>Occurrences of أسطى in that classification</t>
        </is>
      </c>
      <c r="D45" s="17" t="inlineStr">
        <is>
          <t>0</t>
        </is>
      </c>
      <c r="E45" s="17" t="inlineStr">
        <is>
          <t>count</t>
        </is>
      </c>
      <c r="F45" s="17" t="inlineStr">
        <is>
          <t>2021</t>
        </is>
      </c>
      <c r="G45" s="17" t="inlineStr">
        <is>
          <t>التصنيف الأردني المعياري للمهن</t>
        </is>
      </c>
      <c r="H45" s="17" t="inlineStr">
        <is>
          <t>https://sajjil.gov.jo/soc</t>
        </is>
      </c>
      <c r="I45" s="17" t="inlineStr">
        <is>
          <t>Dialect only. Rejected as a rung label</t>
        </is>
      </c>
      <c r="J45" s="17" t="inlineStr">
        <is>
          <t>§2.6</t>
        </is>
      </c>
    </row>
    <row r="46" ht="23.85" customHeight="1" s="13">
      <c r="A46" s="16" t="inlineStr">
        <is>
          <t>F43</t>
        </is>
      </c>
      <c r="B46" s="16" t="inlineStr">
        <is>
          <t>Credentialing</t>
        </is>
      </c>
      <c r="C46" s="16" t="inlineStr">
        <is>
          <t>Occurrences of فني أول</t>
        </is>
      </c>
      <c r="D46" s="16" t="inlineStr">
        <is>
          <t>0</t>
        </is>
      </c>
      <c r="E46" s="16" t="inlineStr">
        <is>
          <t>count</t>
        </is>
      </c>
      <c r="F46" s="16" t="inlineStr">
        <is>
          <t>2021</t>
        </is>
      </c>
      <c r="G46" s="16" t="inlineStr">
        <is>
          <t>التصنيف الأردني المعياري للمهن</t>
        </is>
      </c>
      <c r="H46" s="16" t="inlineStr">
        <is>
          <t>https://sajjil.gov.jo/soc</t>
        </is>
      </c>
      <c r="I46" s="16" t="inlineStr">
        <is>
          <t>No seniority suffix exists. Rung labels use family-specific senior forms</t>
        </is>
      </c>
      <c r="J46" s="16" t="inlineStr">
        <is>
          <t>§2.6, §5.4.1</t>
        </is>
      </c>
    </row>
    <row r="47" ht="15" customHeight="1" s="13">
      <c r="A47" s="17" t="inlineStr">
        <is>
          <t>F44</t>
        </is>
      </c>
      <c r="B47" s="17" t="inlineStr">
        <is>
          <t>Credentialing</t>
        </is>
      </c>
      <c r="C47" s="17" t="inlineStr">
        <is>
          <t>Occurrences of معلّم (all teaching titles)</t>
        </is>
      </c>
      <c r="D47" s="17" t="inlineStr">
        <is>
          <t>52</t>
        </is>
      </c>
      <c r="E47" s="17" t="inlineStr">
        <is>
          <t>count</t>
        </is>
      </c>
      <c r="F47" s="17" t="inlineStr">
        <is>
          <t>2021</t>
        </is>
      </c>
      <c r="G47" s="17" t="inlineStr">
        <is>
          <t>التصنيف الأردني المعياري للمهن</t>
        </is>
      </c>
      <c r="H47" s="17" t="inlineStr">
        <is>
          <t>https://sajjil.gov.jo/soc</t>
        </is>
      </c>
      <c r="I47" s="17" t="inlineStr">
        <is>
          <t>معلّم is an occupied title. BANNED as a rung label</t>
        </is>
      </c>
      <c r="J47" s="17" t="inlineStr">
        <is>
          <t>§2.6, §5.4.1</t>
        </is>
      </c>
    </row>
    <row r="48" ht="15" customHeight="1" s="13">
      <c r="A48" s="16" t="inlineStr">
        <is>
          <t>F45</t>
        </is>
      </c>
      <c r="B48" s="16" t="inlineStr">
        <is>
          <t>Credentialing</t>
        </is>
      </c>
      <c r="C48" s="16" t="inlineStr">
        <is>
          <t>Official titles of the form فني + المجال</t>
        </is>
      </c>
      <c r="D48" s="16" t="inlineStr">
        <is>
          <t>234</t>
        </is>
      </c>
      <c r="E48" s="16" t="inlineStr">
        <is>
          <t>count</t>
        </is>
      </c>
      <c r="F48" s="16" t="inlineStr">
        <is>
          <t>2021</t>
        </is>
      </c>
      <c r="G48" s="16" t="inlineStr">
        <is>
          <t>التصنيف الأردني المعياري للمهن</t>
        </is>
      </c>
      <c r="H48" s="16" t="inlineStr">
        <is>
          <t>https://sajjil.gov.jo/soc</t>
        </is>
      </c>
      <c r="I48" s="16" t="inlineStr">
        <is>
          <t>فني is the correct bare technical title</t>
        </is>
      </c>
      <c r="J48" s="16" t="inlineStr">
        <is>
          <t>§2.6</t>
        </is>
      </c>
    </row>
    <row r="49" ht="15" customHeight="1" s="13">
      <c r="A49" s="17" t="inlineStr">
        <is>
          <t>F46</t>
        </is>
      </c>
      <c r="B49" s="17" t="inlineStr">
        <is>
          <t>Competitor</t>
        </is>
      </c>
      <c r="C49" s="17" t="inlineStr">
        <is>
          <t>LinkedIn Premium Career list price</t>
        </is>
      </c>
      <c r="D49" s="17" t="inlineStr">
        <is>
          <t>29.99</t>
        </is>
      </c>
      <c r="E49" s="17" t="inlineStr">
        <is>
          <t>US$/month</t>
        </is>
      </c>
      <c r="F49" s="17" t="inlineStr">
        <is>
          <t>2026</t>
        </is>
      </c>
      <c r="G49" s="17" t="inlineStr">
        <is>
          <t>LinkedIn pricing reporting</t>
        </is>
      </c>
      <c r="H49" s="17" t="inlineStr">
        <is>
          <t>https://www.leadcrm.io/blog/linkedin-premium-cost/</t>
        </is>
      </c>
      <c r="I49" s="17" t="inlineStr">
        <is>
          <t>5.9% of a PS minimum monthly wage. Ported prices are declines</t>
        </is>
      </c>
      <c r="J49" s="17" t="inlineStr">
        <is>
          <t>§2.4, §13.2</t>
        </is>
      </c>
    </row>
    <row r="50" ht="15" customHeight="1" s="13">
      <c r="A50" s="16" t="inlineStr">
        <is>
          <t>F47</t>
        </is>
      </c>
      <c r="B50" s="16" t="inlineStr">
        <is>
          <t>Competitor</t>
        </is>
      </c>
      <c r="C50" s="16" t="inlineStr">
        <is>
          <t>LinkedIn Recruiter Lite list price</t>
        </is>
      </c>
      <c r="D50" s="16" t="inlineStr">
        <is>
          <t>170</t>
        </is>
      </c>
      <c r="E50" s="16" t="inlineStr">
        <is>
          <t>US$/month</t>
        </is>
      </c>
      <c r="F50" s="16" t="inlineStr">
        <is>
          <t>2026</t>
        </is>
      </c>
      <c r="G50" s="16" t="inlineStr">
        <is>
          <t>LinkedIn pricing reporting</t>
        </is>
      </c>
      <c r="H50" s="16" t="inlineStr">
        <is>
          <t>https://www.leadcrm.io/blog/linkedin-premium-cost/</t>
        </is>
      </c>
      <c r="I50" s="16" t="inlineStr">
        <is>
          <t>Benchmark for EMPLOYER_PRO repricing</t>
        </is>
      </c>
      <c r="J50" s="16" t="inlineStr">
        <is>
          <t>§13.2</t>
        </is>
      </c>
    </row>
    <row r="51" ht="23.85" customHeight="1" s="13">
      <c r="A51" s="17" t="inlineStr">
        <is>
          <t>F48</t>
        </is>
      </c>
      <c r="B51" s="17" t="inlineStr">
        <is>
          <t>Competitor</t>
        </is>
      </c>
      <c r="C51" s="17" t="inlineStr">
        <is>
          <t>LinkedIn verified-identity profiles</t>
        </is>
      </c>
      <c r="D51" s="17" t="inlineStr">
        <is>
          <t>100</t>
        </is>
      </c>
      <c r="E51" s="17" t="inlineStr">
        <is>
          <t>+ million</t>
        </is>
      </c>
      <c r="F51" s="17" t="inlineStr">
        <is>
          <t>2026</t>
        </is>
      </c>
      <c r="G51" s="17" t="inlineStr">
        <is>
          <t>LinkedIn reporting</t>
        </is>
      </c>
      <c r="H51" s="17" t="inlineStr">
        <is>
          <t>https://expandi.io/blog/linkedin-features/</t>
        </is>
      </c>
      <c r="I51" s="17" t="inlineStr">
        <is>
          <t>Verification is table stakes; the METHODS must differ (no CLEAR/NFC path here)</t>
        </is>
      </c>
      <c r="J51" s="17" t="inlineStr">
        <is>
          <t>§3.1, §5.4.2</t>
        </is>
      </c>
    </row>
    <row r="52" ht="23.85" customHeight="1" s="13">
      <c r="A52" s="16" t="inlineStr">
        <is>
          <t>F49</t>
        </is>
      </c>
      <c r="B52" s="16" t="inlineStr">
        <is>
          <t>Geography</t>
        </is>
      </c>
      <c r="C52" s="16" t="inlineStr">
        <is>
          <t>Official governorates</t>
        </is>
      </c>
      <c r="D52" s="16" t="inlineStr">
        <is>
          <t>16</t>
        </is>
      </c>
      <c r="E52" s="16" t="inlineStr">
        <is>
          <t>count</t>
        </is>
      </c>
      <c r="F52" s="16" t="inlineStr">
        <is>
          <t>Current</t>
        </is>
      </c>
      <c r="G52" s="16" t="inlineStr">
        <is>
          <t>PCBS administrative divisions</t>
        </is>
      </c>
      <c r="H52" s="16" t="inlineStr">
        <is>
          <t>https://www.pcbs.gov.ps</t>
        </is>
      </c>
      <c r="I52" s="16" t="inlineStr">
        <is>
          <t>The shipped palestine.ts has 13. Salfit, Tubas and North Gaza are missing</t>
        </is>
      </c>
      <c r="J52" s="16" t="inlineStr">
        <is>
          <t>§1.3.3, §5.7</t>
        </is>
      </c>
    </row>
    <row r="53" ht="23.85" customHeight="1" s="13">
      <c r="A53" s="17" t="inlineStr">
        <is>
          <t>F50</t>
        </is>
      </c>
      <c r="B53" s="17" t="inlineStr">
        <is>
          <t>Geography</t>
        </is>
      </c>
      <c r="C53" s="17" t="inlineStr">
        <is>
          <t>Cities in the shipped PS_CITIES table</t>
        </is>
      </c>
      <c r="D53" s="17" t="inlineStr">
        <is>
          <t>14</t>
        </is>
      </c>
      <c r="E53" s="17" t="inlineStr">
        <is>
          <t>count</t>
        </is>
      </c>
      <c r="F53" s="17" t="inlineStr">
        <is>
          <t>Repo scan 2026-08-08</t>
        </is>
      </c>
      <c r="G53" s="17" t="inlineStr">
        <is>
          <t>packages/shared/src/palestine.ts</t>
        </is>
      </c>
      <c r="H53" s="17" t="n"/>
      <c r="I53" s="17" t="inlineStr">
        <is>
          <t>Replaced with 93. 14 localities for 5.56m people mis-ranks every proximity query</t>
        </is>
      </c>
      <c r="J53" s="17" t="inlineStr">
        <is>
          <t>§1.3.3, §5.7</t>
        </is>
      </c>
    </row>
    <row r="54"/>
    <row r="55" ht="45.75" customHeight="1" s="13">
      <c r="A55" s="18" t="inlineStr">
        <is>
          <t>Every figure used anywhere in BAYDAR-LINKEDIN-PARITY-MASTER-SPEC.docx appears here with its source and retrieval context. Retrieved 8 August 2026. Figures marked 'Sector reporting' are secondary sources summarising operator or ministry data and should be re-confirmed before any public use. No product decision in the specification rests on an unsourced number.</t>
        </is>
      </c>
    </row>
  </sheetData>
  <mergeCells count="1">
    <mergeCell ref="A55:J5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style="13" min="1" max="1"/>
    <col width="46" customWidth="1" style="13" min="2" max="2"/>
    <col width="12" customWidth="1" style="13" min="3" max="3"/>
    <col width="40" customWidth="1" style="13" min="4" max="4"/>
    <col width="50" customWidth="1" style="13" min="5" max="5"/>
    <col width="18" customWidth="1" style="13" min="6" max="6"/>
  </cols>
  <sheetData>
    <row r="1">
      <c r="A1" s="25" t="inlineStr">
        <is>
          <t>Derived figures — every value in column D is a live formula</t>
        </is>
      </c>
    </row>
    <row r="2" ht="28" customHeight="1" s="13">
      <c r="A2" s="26" t="inlineStr">
        <is>
          <t>Green cells in column C are INPUTS. Column D is COMPUTED and must never be typed over. Change an input and every downstream figure recalculates.</t>
        </is>
      </c>
    </row>
    <row r="3"/>
    <row r="4" ht="28" customHeight="1" s="13">
      <c r="A4" s="27" t="inlineStr">
        <is>
          <t>#</t>
        </is>
      </c>
      <c r="B4" s="27" t="inlineStr">
        <is>
          <t>Basis / input</t>
        </is>
      </c>
      <c r="C4" s="27" t="inlineStr">
        <is>
          <t>Input</t>
        </is>
      </c>
      <c r="D4" s="27" t="inlineStr">
        <is>
          <t>Derived</t>
        </is>
      </c>
      <c r="E4" s="27" t="inlineStr">
        <is>
          <t>What the formula does</t>
        </is>
      </c>
      <c r="F4" s="27" t="inlineStr">
        <is>
          <t>Spec ref</t>
        </is>
      </c>
    </row>
    <row r="5">
      <c r="A5" s="28" t="inlineStr">
        <is>
          <t>D01</t>
        </is>
      </c>
      <c r="B5" s="28" t="inlineStr">
        <is>
          <t>Statutory minimum monthly wage (ILS)</t>
        </is>
      </c>
      <c r="C5" s="29" t="n">
        <v>1880</v>
      </c>
      <c r="D5" s="30" t="inlineStr">
        <is>
          <t>— input —</t>
        </is>
      </c>
      <c r="E5" s="28" t="inlineStr">
        <is>
          <t>CoM Resolution No. 4 of 2021 — Facts!F28</t>
        </is>
      </c>
      <c r="F5" s="28" t="inlineStr">
        <is>
          <t>§2.4</t>
        </is>
      </c>
    </row>
    <row r="6">
      <c r="A6" s="28" t="inlineStr">
        <is>
          <t>D02</t>
        </is>
      </c>
      <c r="B6" s="28" t="inlineStr">
        <is>
          <t>Illustrative ILS per USD (rate)</t>
        </is>
      </c>
      <c r="C6" s="29" t="n">
        <v>3.72</v>
      </c>
      <c r="D6" s="30" t="inlineStr">
        <is>
          <t>— input —</t>
        </is>
      </c>
      <c r="E6" s="28" t="inlineStr">
        <is>
          <t>Illustration only; live FX comes from FX_FEED_URL</t>
        </is>
      </c>
      <c r="F6" s="28" t="inlineStr">
        <is>
          <t>§13.5</t>
        </is>
      </c>
    </row>
    <row r="7">
      <c r="A7" s="28" t="inlineStr">
        <is>
          <t>D03</t>
        </is>
      </c>
      <c r="B7" s="28" t="inlineStr">
        <is>
          <t>2G usable throughput (kbit/s)</t>
        </is>
      </c>
      <c r="C7" s="29" t="n">
        <v>30</v>
      </c>
      <c r="D7" s="30" t="inlineStr">
        <is>
          <t>— input —</t>
        </is>
      </c>
      <c r="E7" s="28" t="inlineStr">
        <is>
          <t>Midpoint of the 20-40 kbit/s band — Facts!F18</t>
        </is>
      </c>
      <c r="F7" s="28" t="inlineStr">
        <is>
          <t>§15.2</t>
        </is>
      </c>
    </row>
    <row r="8"/>
    <row r="9">
      <c r="A9" s="31" t="inlineStr">
        <is>
          <t>PRICING — the ILS figure is the price; the percentage is derived context</t>
        </is>
      </c>
      <c r="B9" s="33" t="n"/>
      <c r="C9" s="33" t="n"/>
      <c r="D9" s="33" t="n"/>
      <c r="E9" s="33" t="n"/>
      <c r="F9" s="34" t="n"/>
    </row>
    <row r="10">
      <c r="A10" s="28" t="inlineStr">
        <is>
          <t>D04</t>
        </is>
      </c>
      <c r="B10" s="28" t="inlineStr">
        <is>
          <t>LinkedIn Premium Career list price (USD/month)</t>
        </is>
      </c>
      <c r="C10" s="29" t="n">
        <v>29.99</v>
      </c>
      <c r="D10" s="32">
        <f>ROUND(C10*$C$6/$C$5*100,1)&amp;"% of a PS minimum monthly wage"</f>
        <v/>
      </c>
      <c r="E10" s="28" t="inlineStr">
        <is>
          <t>USD price x ILS/USD, over the minimum monthly wage</t>
        </is>
      </c>
      <c r="F10" s="28" t="inlineStr">
        <is>
          <t>§2.4, §13.2</t>
        </is>
      </c>
    </row>
    <row r="11">
      <c r="A11" s="28" t="inlineStr">
        <is>
          <t>D05</t>
        </is>
      </c>
      <c r="B11" s="28" t="inlineStr">
        <is>
          <t>MEMBER_PLUS (ILS/month)</t>
        </is>
      </c>
      <c r="C11" s="29" t="n">
        <v>30</v>
      </c>
      <c r="D11" s="32">
        <f>ROUND(C11/$C$5*100,2)&amp;"%"</f>
        <v/>
      </c>
      <c r="E11" s="28" t="inlineStr">
        <is>
          <t>Share of the minimum monthly wage</t>
        </is>
      </c>
      <c r="F11" s="28" t="inlineStr">
        <is>
          <t>§13.2</t>
        </is>
      </c>
    </row>
    <row r="12">
      <c r="A12" s="28" t="inlineStr">
        <is>
          <t>D06</t>
        </is>
      </c>
      <c r="B12" s="28" t="inlineStr">
        <is>
          <t>MEMBER_PLUS annual (10 months for 12) (ILS/year)</t>
        </is>
      </c>
      <c r="C12" s="29" t="n">
        <v>300</v>
      </c>
      <c r="D12" s="32">
        <f>ROUND(C12/12,1)&amp;" ILS/month effective"</f>
        <v/>
      </c>
      <c r="E12" s="28" t="inlineStr">
        <is>
          <t>Effective monthly rate</t>
        </is>
      </c>
      <c r="F12" s="28" t="inlineStr">
        <is>
          <t>§13.2</t>
        </is>
      </c>
    </row>
    <row r="13">
      <c r="A13" s="28" t="inlineStr">
        <is>
          <t>D07</t>
        </is>
      </c>
      <c r="B13" s="28" t="inlineStr">
        <is>
          <t>EMPLOYER_BASIC (ILS/month)</t>
        </is>
      </c>
      <c r="C13" s="29" t="n">
        <v>150</v>
      </c>
      <c r="D13" s="32">
        <f>ROUND(C13/$C$5*100,1)&amp;"%"</f>
        <v/>
      </c>
      <c r="E13" s="28" t="inlineStr">
        <is>
          <t>Share of the minimum monthly wage</t>
        </is>
      </c>
      <c r="F13" s="28" t="inlineStr">
        <is>
          <t>§13.2</t>
        </is>
      </c>
    </row>
    <row r="14">
      <c r="A14" s="28" t="inlineStr">
        <is>
          <t>D08</t>
        </is>
      </c>
      <c r="B14" s="28" t="inlineStr">
        <is>
          <t>EMPLOYER_PRO (ILS/month)</t>
        </is>
      </c>
      <c r="C14" s="29" t="n">
        <v>450</v>
      </c>
      <c r="D14" s="32">
        <f>ROUND(C14/$C$5*100,1)&amp;"%"</f>
        <v/>
      </c>
      <c r="E14" s="28" t="inlineStr">
        <is>
          <t>Share of the minimum monthly wage</t>
        </is>
      </c>
      <c r="F14" s="28" t="inlineStr">
        <is>
          <t>§13.2</t>
        </is>
      </c>
    </row>
    <row r="15">
      <c r="A15" s="28" t="inlineStr">
        <is>
          <t>D09</t>
        </is>
      </c>
      <c r="B15" s="28" t="inlineStr">
        <is>
          <t>FEATURED_SLOT (14 days) (ILS)</t>
        </is>
      </c>
      <c r="C15" s="29" t="n">
        <v>75</v>
      </c>
      <c r="D15" s="32">
        <f>ROUND(C15/$C$5*100,1)&amp;"%"</f>
        <v/>
      </c>
      <c r="E15" s="28" t="inlineStr">
        <is>
          <t>Share of the minimum monthly wage</t>
        </is>
      </c>
      <c r="F15" s="28" t="inlineStr">
        <is>
          <t>§13.2</t>
        </is>
      </c>
    </row>
    <row r="16">
      <c r="A16" s="28" t="inlineStr">
        <is>
          <t>D10</t>
        </is>
      </c>
      <c r="B16" s="28" t="inlineStr">
        <is>
          <t>EMPLOYER_DIASPORA (USD/month)</t>
        </is>
      </c>
      <c r="C16" s="29" t="n">
        <v>149</v>
      </c>
      <c r="D16" s="32">
        <f>ROUND(C16*$C$6,0)&amp;" ILS equivalent"</f>
        <v/>
      </c>
      <c r="E16" s="28" t="inlineStr">
        <is>
          <t>Converted at the illustrative rate</t>
        </is>
      </c>
      <c r="F16" s="28" t="inlineStr">
        <is>
          <t>§13.2</t>
        </is>
      </c>
    </row>
    <row r="17"/>
    <row r="18">
      <c r="A18" s="31" t="inlineStr">
        <is>
          <t>PAYLOAD BUDGETS — seconds on a 2G connection</t>
        </is>
      </c>
      <c r="B18" s="33" t="n"/>
      <c r="C18" s="33" t="n"/>
      <c r="D18" s="33" t="n"/>
      <c r="E18" s="33" t="n"/>
      <c r="F18" s="34" t="n"/>
    </row>
    <row r="19">
      <c r="A19" s="28" t="inlineStr">
        <is>
          <t>D11</t>
        </is>
      </c>
      <c r="B19" s="28" t="inlineStr">
        <is>
          <t>Feed page, 10 posts (KB gzipped)</t>
        </is>
      </c>
      <c r="C19" s="29" t="n">
        <v>24</v>
      </c>
      <c r="D19" s="32">
        <f>ROUND(C19*8/$C$7,1)&amp;" s on 2G"</f>
        <v/>
      </c>
      <c r="E19" s="28" t="inlineStr">
        <is>
          <t>KB x 8 kbit, over throughput</t>
        </is>
      </c>
      <c r="F19" s="28" t="inlineStr">
        <is>
          <t>§15.2</t>
        </is>
      </c>
    </row>
    <row r="20">
      <c r="A20" s="28" t="inlineStr">
        <is>
          <t>D12</t>
        </is>
      </c>
      <c r="B20" s="28" t="inlineStr">
        <is>
          <t>Jobs page, 20 jobs (KB gzipped)</t>
        </is>
      </c>
      <c r="C20" s="29" t="n">
        <v>18</v>
      </c>
      <c r="D20" s="32">
        <f>ROUND(C20*8/$C$7,1)&amp;" s on 2G"</f>
        <v/>
      </c>
      <c r="E20" s="28" t="inlineStr">
        <is>
          <t>KB x 8 kbit, over throughput</t>
        </is>
      </c>
      <c r="F20" s="28" t="inlineStr">
        <is>
          <t>§15.2</t>
        </is>
      </c>
    </row>
    <row r="21">
      <c r="A21" s="28" t="inlineStr">
        <is>
          <t>D13</t>
        </is>
      </c>
      <c r="B21" s="28" t="inlineStr">
        <is>
          <t>Profile (KB gzipped)</t>
        </is>
      </c>
      <c r="C21" s="29" t="n">
        <v>12</v>
      </c>
      <c r="D21" s="32">
        <f>ROUND(C21*8/$C$7,1)&amp;" s on 2G"</f>
        <v/>
      </c>
      <c r="E21" s="28" t="inlineStr">
        <is>
          <t>KB x 8 kbit, over throughput</t>
        </is>
      </c>
      <c r="F21" s="28" t="inlineStr">
        <is>
          <t>§15.2</t>
        </is>
      </c>
    </row>
    <row r="22">
      <c r="A22" s="28" t="inlineStr">
        <is>
          <t>D14</t>
        </is>
      </c>
      <c r="B22" s="28" t="inlineStr">
        <is>
          <t>Message rooms, 20 (KB gzipped)</t>
        </is>
      </c>
      <c r="C22" s="29" t="n">
        <v>10</v>
      </c>
      <c r="D22" s="32">
        <f>ROUND(C22*8/$C$7,1)&amp;" s on 2G"</f>
        <v/>
      </c>
      <c r="E22" s="28" t="inlineStr">
        <is>
          <t>KB x 8 kbit, over throughput</t>
        </is>
      </c>
      <c r="F22" s="28" t="inlineStr">
        <is>
          <t>§15.2</t>
        </is>
      </c>
    </row>
    <row r="23">
      <c r="A23" s="28" t="inlineStr">
        <is>
          <t>D15</t>
        </is>
      </c>
      <c r="B23" s="28" t="inlineStr">
        <is>
          <t>Messages, 30 (KB gzipped)</t>
        </is>
      </c>
      <c r="C23" s="29" t="n">
        <v>14</v>
      </c>
      <c r="D23" s="32">
        <f>ROUND(C23*8/$C$7,1)&amp;" s on 2G"</f>
        <v/>
      </c>
      <c r="E23" s="28" t="inlineStr">
        <is>
          <t>KB x 8 kbit, over throughput</t>
        </is>
      </c>
      <c r="F23" s="28" t="inlineStr">
        <is>
          <t>§15.2</t>
        </is>
      </c>
    </row>
    <row r="24">
      <c r="A24" s="28" t="inlineStr">
        <is>
          <t>D16</t>
        </is>
      </c>
      <c r="B24" s="28" t="inlineStr">
        <is>
          <t>Notifications, 20 (KB gzipped)</t>
        </is>
      </c>
      <c r="C24" s="29" t="n">
        <v>9</v>
      </c>
      <c r="D24" s="32">
        <f>ROUND(C24*8/$C$7,1)&amp;" s on 2G"</f>
        <v/>
      </c>
      <c r="E24" s="28" t="inlineStr">
        <is>
          <t>KB x 8 kbit, over throughput</t>
        </is>
      </c>
      <c r="F24" s="28" t="inlineStr">
        <is>
          <t>§15.2</t>
        </is>
      </c>
    </row>
    <row r="25">
      <c r="A25" s="28" t="inlineStr">
        <is>
          <t>D17</t>
        </is>
      </c>
      <c r="B25" s="28" t="inlineStr">
        <is>
          <t>Search results, 20 (KB gzipped)</t>
        </is>
      </c>
      <c r="C25" s="29" t="n">
        <v>12</v>
      </c>
      <c r="D25" s="32">
        <f>ROUND(C25*8/$C$7,1)&amp;" s on 2G"</f>
        <v/>
      </c>
      <c r="E25" s="28" t="inlineStr">
        <is>
          <t>KB x 8 kbit, over throughput</t>
        </is>
      </c>
      <c r="F25" s="28" t="inlineStr">
        <is>
          <t>§15.2</t>
        </is>
      </c>
    </row>
    <row r="26"/>
    <row r="27">
      <c r="A27" s="31" t="inlineStr">
        <is>
          <t>MEDIA CEILINGS — 32 kbit/s mono Opus</t>
        </is>
      </c>
      <c r="B27" s="33" t="n"/>
      <c r="C27" s="33" t="n"/>
      <c r="D27" s="33" t="n"/>
      <c r="E27" s="33" t="n"/>
      <c r="F27" s="34" t="n"/>
    </row>
    <row r="28">
      <c r="A28" s="28" t="inlineStr">
        <is>
          <t>D18</t>
        </is>
      </c>
      <c r="B28" s="28" t="inlineStr">
        <is>
          <t>Opus bitrate (kbit/s)</t>
        </is>
      </c>
      <c r="C28" s="29" t="n">
        <v>32</v>
      </c>
      <c r="D28" s="30" t="inlineStr">
        <is>
          <t>— input —</t>
        </is>
      </c>
      <c r="E28" s="28" t="inlineStr">
        <is>
          <t>Mono. The lowest bitrate at which Arabic speech stays intelligible</t>
        </is>
      </c>
      <c r="F28" s="28" t="inlineStr">
        <is>
          <t>§14.3, §12.3</t>
        </is>
      </c>
    </row>
    <row r="29">
      <c r="A29" s="28" t="inlineStr">
        <is>
          <t>D19</t>
        </is>
      </c>
      <c r="B29" s="28" t="inlineStr">
        <is>
          <t>Voice message ceiling (seconds)</t>
        </is>
      </c>
      <c r="C29" s="29" t="n">
        <v>120</v>
      </c>
      <c r="D29" s="32">
        <f>ROUND(C29*$C$28*1000/8/1024,0)&amp;" KB"</f>
        <v/>
      </c>
      <c r="E29" s="28" t="inlineStr">
        <is>
          <t>seconds x bitrate / 8 bits</t>
        </is>
      </c>
      <c r="F29" s="28" t="inlineStr">
        <is>
          <t>§14.3</t>
        </is>
      </c>
    </row>
    <row r="30">
      <c r="A30" s="28" t="inlineStr">
        <is>
          <t>D20</t>
        </is>
      </c>
      <c r="B30" s="28" t="inlineStr">
        <is>
          <t>Lesson audio ceiling (seconds)</t>
        </is>
      </c>
      <c r="C30" s="29" t="n">
        <v>480</v>
      </c>
      <c r="D30" s="32">
        <f>ROUND(C30*$C$28*1000/8/1048576,2)&amp;" MB"</f>
        <v/>
      </c>
      <c r="E30" s="28" t="inlineStr">
        <is>
          <t>seconds x bitrate / 8 bits</t>
        </is>
      </c>
      <c r="F30" s="28" t="inlineStr">
        <is>
          <t>§12.3</t>
        </is>
      </c>
    </row>
    <row r="31"/>
    <row r="32" ht="46" customHeight="1" s="13">
      <c r="A32" s="26" t="inlineStr">
        <is>
          <t>Note on pricing direction: the ILS figure is the price a member sees and is chosen to be legible; the percentage is derived so the burden stays visible when the statutory wage changes. 24% of 1,880 is 451.2, so EMPLOYER_PRO is priced at 450 and reads as 23.9% — the rounding is in the price, never in the percentage.</t>
        </is>
      </c>
    </row>
  </sheetData>
  <mergeCells count="5">
    <mergeCell ref="A2:F2"/>
    <mergeCell ref="A32:F32"/>
    <mergeCell ref="A9:F9"/>
    <mergeCell ref="A27:F2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2" min="1" max="1"/>
    <col width="10" customWidth="1" style="12" min="2" max="3"/>
    <col width="64" customWidth="1" style="12" min="4" max="4"/>
  </cols>
  <sheetData>
    <row r="1" ht="17.35" customHeight="1" s="13">
      <c r="A1" s="14" t="inlineStr">
        <is>
          <t>LinkedIn capability surface — 138 capabilities classified</t>
        </is>
      </c>
    </row>
    <row r="2"/>
    <row r="3" ht="15" customHeight="1" s="13">
      <c r="A3" s="15" t="inlineStr">
        <is>
          <t>Verdict</t>
        </is>
      </c>
      <c r="B3" s="15" t="inlineStr">
        <is>
          <t>Count</t>
        </is>
      </c>
      <c r="C3" s="15" t="inlineStr">
        <is>
          <t>Share</t>
        </is>
      </c>
      <c r="D3" s="15" t="inlineStr">
        <is>
          <t>Meaning</t>
        </is>
      </c>
    </row>
    <row r="4" ht="15" customHeight="1" s="13">
      <c r="A4" s="21" t="inlineStr">
        <is>
          <t>HAVE</t>
        </is>
      </c>
      <c r="B4" s="16" t="n">
        <v>26</v>
      </c>
      <c r="C4" s="16">
        <f>ROUND(B4/SUM($B$4:$B$8)*100,0)&amp;"%"</f>
        <v/>
      </c>
      <c r="D4" s="16" t="inlineStr">
        <is>
          <t>Already shipped and adequate</t>
        </is>
      </c>
    </row>
    <row r="5" ht="15" customHeight="1" s="13">
      <c r="A5" s="21" t="inlineStr">
        <is>
          <t>FIX</t>
        </is>
      </c>
      <c r="B5" s="16" t="n">
        <v>33</v>
      </c>
      <c r="C5" s="16">
        <f>ROUND(B5/SUM($B$4:$B$8)*100,0)&amp;"%"</f>
        <v/>
      </c>
      <c r="D5" s="16" t="inlineStr">
        <is>
          <t>Exists but defective, unreachable, or has no UI</t>
        </is>
      </c>
    </row>
    <row r="6" ht="15" customHeight="1" s="13">
      <c r="A6" s="21" t="inlineStr">
        <is>
          <t>ADD</t>
        </is>
      </c>
      <c r="B6" s="16" t="n">
        <v>51</v>
      </c>
      <c r="C6" s="16">
        <f>ROUND(B6/SUM($B$4:$B$8)*100,0)&amp;"%"</f>
        <v/>
      </c>
      <c r="D6" s="16" t="inlineStr">
        <is>
          <t>Does not exist</t>
        </is>
      </c>
    </row>
    <row r="7" ht="15" customHeight="1" s="13">
      <c r="A7" s="21" t="inlineStr">
        <is>
          <t>ADAPT</t>
        </is>
      </c>
      <c r="B7" s="16" t="n">
        <v>12</v>
      </c>
      <c r="C7" s="16">
        <f>ROUND(B7/SUM($B$4:$B$8)*100,0)&amp;"%"</f>
        <v/>
      </c>
      <c r="D7" s="16" t="inlineStr">
        <is>
          <t>Right capability, wrong shape for this market</t>
        </is>
      </c>
    </row>
    <row r="8" ht="15" customHeight="1" s="13">
      <c r="A8" s="21" t="inlineStr">
        <is>
          <t>REJECT</t>
        </is>
      </c>
      <c r="B8" s="16" t="n">
        <v>16</v>
      </c>
      <c r="C8" s="16">
        <f>ROUND(B8/SUM($B$4:$B$8)*100,0)&amp;"%"</f>
        <v/>
      </c>
      <c r="D8" s="16" t="inlineStr">
        <is>
          <t>Deliberately not built; each has a written reason</t>
        </is>
      </c>
    </row>
    <row r="9" ht="15" customHeight="1" s="13">
      <c r="A9" s="22" t="inlineStr">
        <is>
          <t>TOTAL</t>
        </is>
      </c>
      <c r="B9" s="22">
        <f>SUM(B4:B8)</f>
        <v/>
      </c>
      <c r="C9" s="23" t="n"/>
      <c r="D9" s="23" t="n"/>
    </row>
    <row r="10"/>
    <row r="11" ht="45.75" customHeight="1" s="13">
      <c r="A11" s="18" t="inlineStr">
        <is>
          <t>The headline finding: 33 capabilities are already in the schema, the enum set or the API with no engine or no UI — nearly a quarter of LinkedIn's surface sitting in this repo as committed intent with no behaviour. FIX before ADD, everywhere possible.</t>
        </is>
      </c>
    </row>
  </sheetData>
  <mergeCells count="1"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12" min="1" max="1"/>
    <col width="6" customWidth="1" style="12" min="2" max="2"/>
    <col width="50" customWidth="1" style="12" min="3" max="3"/>
    <col width="42" customWidth="1" style="12" min="4" max="4"/>
    <col width="52" customWidth="1" style="12" min="5" max="5"/>
    <col width="16" customWidth="1" style="12" min="6" max="6"/>
  </cols>
  <sheetData>
    <row r="1" ht="17.35" customHeight="1" s="13">
      <c r="A1" s="14" t="inlineStr">
        <is>
          <t>Owner-input register</t>
        </is>
      </c>
    </row>
    <row r="2"/>
    <row r="3" ht="30" customHeight="1" s="13">
      <c r="A3" s="15" t="inlineStr">
        <is>
          <t>Status</t>
        </is>
      </c>
      <c r="B3" s="15" t="inlineStr">
        <is>
          <t>#</t>
        </is>
      </c>
      <c r="C3" s="15" t="inlineStr">
        <is>
          <t>What is needed</t>
        </is>
      </c>
      <c r="D3" s="15" t="inlineStr">
        <is>
          <t>What it blocks</t>
        </is>
      </c>
      <c r="E3" s="15" t="inlineStr">
        <is>
          <t>Designed fallback while unset</t>
        </is>
      </c>
      <c r="F3" s="15" t="inlineStr">
        <is>
          <t>Spec ref</t>
        </is>
      </c>
    </row>
    <row r="4" ht="23.85" customHeight="1" s="13">
      <c r="A4" s="16" t="inlineStr">
        <is>
          <t>New</t>
        </is>
      </c>
      <c r="B4" s="16" t="inlineStr">
        <is>
          <t>1</t>
        </is>
      </c>
      <c r="C4" s="16" t="inlineStr">
        <is>
          <t>SMS provider (Jawwal/Ooredoo A2P, regional aggregator, or Twilio)</t>
        </is>
      </c>
      <c r="D4" s="16" t="inlineStr">
        <is>
          <t>Phone verification; the four SMS events; off-platform WorkProof</t>
        </is>
      </c>
      <c r="E4" s="16" t="inlineStr">
        <is>
          <t>LogSmsProvider writes to Pino; phone verification unavailable and the UI says so</t>
        </is>
      </c>
      <c r="F4" s="16" t="inlineStr">
        <is>
          <t>§18.4, §5.4.2</t>
        </is>
      </c>
    </row>
    <row r="5" ht="23.85" customHeight="1" s="13">
      <c r="A5" s="17" t="inlineStr">
        <is>
          <t>New</t>
        </is>
      </c>
      <c r="B5" s="17" t="inlineStr">
        <is>
          <t>2</t>
        </is>
      </c>
      <c r="C5" s="17" t="inlineStr">
        <is>
          <t>Jawwal Pay merchant onboarding</t>
        </is>
      </c>
      <c r="D5" s="17" t="inlineStr">
        <is>
          <t>The JAWWALPAY method</t>
        </is>
      </c>
      <c r="E5" s="17" t="inlineStr">
        <is>
          <t>isConfigured() false; method hidden from the catalog (already a tested state)</t>
        </is>
      </c>
      <c r="F5" s="17" t="inlineStr">
        <is>
          <t>§13.4</t>
        </is>
      </c>
    </row>
    <row r="6" ht="15" customHeight="1" s="13">
      <c r="A6" s="16" t="inlineStr">
        <is>
          <t>New</t>
        </is>
      </c>
      <c r="B6" s="16" t="inlineStr">
        <is>
          <t>3</t>
        </is>
      </c>
      <c r="C6" s="16" t="inlineStr">
        <is>
          <t>PalPay merchant onboarding</t>
        </is>
      </c>
      <c r="D6" s="16" t="inlineStr">
        <is>
          <t>The PALPAY method</t>
        </is>
      </c>
      <c r="E6" s="16" t="inlineStr">
        <is>
          <t>Same</t>
        </is>
      </c>
      <c r="F6" s="16" t="inlineStr">
        <is>
          <t>§13.4</t>
        </is>
      </c>
    </row>
    <row r="7" ht="15" customHeight="1" s="13">
      <c r="A7" s="17" t="inlineStr">
        <is>
          <t>New</t>
        </is>
      </c>
      <c r="B7" s="17" t="inlineStr">
        <is>
          <t>4</t>
        </is>
      </c>
      <c r="C7" s="17" t="inlineStr">
        <is>
          <t>Reflect merchant onboarding</t>
        </is>
      </c>
      <c r="D7" s="17" t="inlineStr">
        <is>
          <t>The REFLECT method</t>
        </is>
      </c>
      <c r="E7" s="17" t="inlineStr">
        <is>
          <t>Same</t>
        </is>
      </c>
      <c r="F7" s="17" t="inlineStr">
        <is>
          <t>§13.4</t>
        </is>
      </c>
    </row>
    <row r="8" ht="15" customHeight="1" s="13">
      <c r="A8" s="16" t="inlineStr">
        <is>
          <t>New</t>
        </is>
      </c>
      <c r="B8" s="16" t="inlineStr">
        <is>
          <t>5</t>
        </is>
      </c>
      <c r="C8" s="16" t="inlineStr">
        <is>
          <t>Professional-body data sharing (4 bodies)</t>
        </is>
      </c>
      <c r="D8" s="16" t="inlineStr">
        <is>
          <t>Automated licence verification</t>
        </is>
      </c>
      <c r="E8" s="16" t="inlineStr">
        <is>
          <t>Manual moderator review — identical code path</t>
        </is>
      </c>
      <c r="F8" s="16" t="inlineStr">
        <is>
          <t>§5.4.2</t>
        </is>
      </c>
    </row>
    <row r="9" ht="15" customHeight="1" s="13">
      <c r="A9" s="17" t="inlineStr">
        <is>
          <t>New</t>
        </is>
      </c>
      <c r="B9" s="17" t="inlineStr">
        <is>
          <t>6</t>
        </is>
      </c>
      <c r="C9" s="17" t="inlineStr">
        <is>
          <t>Learning seed catalog authorship</t>
        </is>
      </c>
      <c r="D9" s="17" t="inlineStr">
        <is>
          <t>A non-empty Learning tab</t>
        </is>
      </c>
      <c r="E9" s="17" t="inlineStr">
        <is>
          <t>Ships empty with an honest empty state</t>
        </is>
      </c>
      <c r="F9" s="17" t="inlineStr">
        <is>
          <t>§12.1</t>
        </is>
      </c>
    </row>
    <row r="10" ht="15" customHeight="1" s="13">
      <c r="A10" s="16" t="inlineStr">
        <is>
          <t>New</t>
        </is>
      </c>
      <c r="B10" s="16" t="inlineStr">
        <is>
          <t>7</t>
        </is>
      </c>
      <c r="C10" s="16" t="inlineStr">
        <is>
          <t>Seeded-group volunteer moderators</t>
        </is>
      </c>
      <c r="D10" s="16" t="inlineStr">
        <is>
          <t>Group moderation quality</t>
        </is>
      </c>
      <c r="E10" s="16" t="inlineStr">
        <is>
          <t>Read-mostly groups with platform moderation only</t>
        </is>
      </c>
      <c r="F10" s="16" t="inlineStr">
        <is>
          <t>§9.1</t>
        </is>
      </c>
    </row>
    <row r="11" ht="15" customHeight="1" s="13">
      <c r="A11" s="17" t="inlineStr">
        <is>
          <t>New</t>
        </is>
      </c>
      <c r="B11" s="17" t="inlineStr">
        <is>
          <t>8</t>
        </is>
      </c>
      <c r="C11" s="17" t="inlineStr">
        <is>
          <t>Craft family key confirmation (needs a tradesperson)</t>
        </is>
      </c>
      <c r="D11" s="17" t="inlineStr">
        <is>
          <t>Standing labels</t>
        </is>
      </c>
      <c r="E11" s="17" t="inlineStr">
        <is>
          <t>Current keys ship; a later key change is a data migration</t>
        </is>
      </c>
      <c r="F11" s="17" t="inlineStr">
        <is>
          <t>§5.4.1</t>
        </is>
      </c>
    </row>
    <row r="12" ht="15" customHeight="1" s="13">
      <c r="A12" s="16" t="inlineStr">
        <is>
          <t>New</t>
        </is>
      </c>
      <c r="B12" s="16" t="inlineStr">
        <is>
          <t>9</t>
        </is>
      </c>
      <c r="C12" s="16" t="inlineStr">
        <is>
          <t>Registration-document review capacity</t>
        </is>
      </c>
      <c r="D12" s="16" t="inlineStr">
        <is>
          <t>Employer onboarding throughput</t>
        </is>
      </c>
      <c r="E12" s="16" t="inlineStr">
        <is>
          <t>Queue grows; jobs stay invisible — the safe failure</t>
        </is>
      </c>
      <c r="F12" s="16" t="inlineStr">
        <is>
          <t>§10.4</t>
        </is>
      </c>
    </row>
    <row r="13" ht="15" customHeight="1" s="13">
      <c r="A13" s="17" t="inlineStr">
        <is>
          <t>New</t>
        </is>
      </c>
      <c r="B13" s="17" t="inlineStr">
        <is>
          <t>10</t>
        </is>
      </c>
      <c r="C13" s="17" t="inlineStr">
        <is>
          <t>Legal review of wage-insight publication</t>
        </is>
      </c>
      <c r="D13" s="17" t="inlineStr">
        <is>
          <t>GET /insights/wages</t>
        </is>
      </c>
      <c r="E13" s="17" t="inlineStr">
        <is>
          <t>Ships behind a feature flag, default off</t>
        </is>
      </c>
      <c r="F13" s="17" t="inlineStr">
        <is>
          <t>§10.6</t>
        </is>
      </c>
    </row>
    <row r="14" ht="23.85" customHeight="1" s="13">
      <c r="A14" s="16" t="inlineStr">
        <is>
          <t>New</t>
        </is>
      </c>
      <c r="B14" s="16" t="inlineStr">
        <is>
          <t>11</t>
        </is>
      </c>
      <c r="C14" s="16" t="inlineStr">
        <is>
          <t>FX source for FX_FEED_URL (PMA reference or commercial)</t>
        </is>
      </c>
      <c r="D14" s="16" t="inlineStr">
        <is>
          <t>Multi-currency accuracy</t>
        </is>
      </c>
      <c r="E14" s="16" t="inlineStr">
        <is>
          <t>Hardcoded rate table with a staleness warning in the UI</t>
        </is>
      </c>
      <c r="F14" s="16" t="inlineStr">
        <is>
          <t>§13.5</t>
        </is>
      </c>
    </row>
    <row r="15" ht="15" customHeight="1" s="13">
      <c r="A15" s="17" t="inlineStr">
        <is>
          <t>New</t>
        </is>
      </c>
      <c r="B15" s="17" t="inlineStr">
        <is>
          <t>12</t>
        </is>
      </c>
      <c r="C15" s="17" t="inlineStr">
        <is>
          <t>Native-speaker Arabic pass over the 1,406 new keys</t>
        </is>
      </c>
      <c r="D15" s="17" t="inlineStr">
        <is>
          <t>Copy quality at launch</t>
        </is>
      </c>
      <c r="E15" s="17" t="inlineStr">
        <is>
          <t>None — this is not mitigable in code</t>
        </is>
      </c>
      <c r="F15" s="17" t="inlineStr">
        <is>
          <t>Risk #4</t>
        </is>
      </c>
    </row>
    <row r="16" ht="23.85" customHeight="1" s="13">
      <c r="A16" s="16" t="inlineStr">
        <is>
          <t>Pre-existing</t>
        </is>
      </c>
      <c r="B16" s="16" t="inlineStr">
        <is>
          <t>-</t>
        </is>
      </c>
      <c r="C16" s="16" t="inlineStr">
        <is>
          <t>CORS_ORIGINS, BAYDAR_WEB_URL, INTERNAL_CRON_TOKEN</t>
        </is>
      </c>
      <c r="D16" s="16" t="inlineStr">
        <is>
          <t>Production boot</t>
        </is>
      </c>
      <c r="E16" s="16" t="inlineStr">
        <is>
          <t>None</t>
        </is>
      </c>
      <c r="F16" s="16" t="inlineStr">
        <is>
          <t>HANDOFF</t>
        </is>
      </c>
    </row>
    <row r="17" ht="15" customHeight="1" s="13">
      <c r="A17" s="17" t="inlineStr">
        <is>
          <t>Pre-existing</t>
        </is>
      </c>
      <c r="B17" s="17" t="inlineStr">
        <is>
          <t>-</t>
        </is>
      </c>
      <c r="C17" s="17" t="inlineStr">
        <is>
          <t>RESEND_API_KEY + MAIL_FROM</t>
        </is>
      </c>
      <c r="D17" s="17" t="inlineStr">
        <is>
          <t>Production boot, all email</t>
        </is>
      </c>
      <c r="E17" s="17" t="inlineStr">
        <is>
          <t>None</t>
        </is>
      </c>
      <c r="F17" s="17" t="inlineStr">
        <is>
          <t>HANDOFF</t>
        </is>
      </c>
    </row>
    <row r="18" ht="15" customHeight="1" s="13">
      <c r="A18" s="16" t="inlineStr">
        <is>
          <t>Pre-existing</t>
        </is>
      </c>
      <c r="B18" s="16" t="inlineStr">
        <is>
          <t>-</t>
        </is>
      </c>
      <c r="C18" s="16" t="inlineStr">
        <is>
          <t>HyperPay entity / access token / webhook secret</t>
        </is>
      </c>
      <c r="D18" s="16" t="inlineStr">
        <is>
          <t>Production boot, card payments</t>
        </is>
      </c>
      <c r="E18" s="16" t="inlineStr">
        <is>
          <t>Bank transfer + Karama</t>
        </is>
      </c>
      <c r="F18" s="16" t="inlineStr">
        <is>
          <t>HANDOFF</t>
        </is>
      </c>
    </row>
    <row r="19" ht="15" customHeight="1" s="13">
      <c r="A19" s="17" t="inlineStr">
        <is>
          <t>Pre-existing</t>
        </is>
      </c>
      <c r="B19" s="17" t="inlineStr">
        <is>
          <t>-</t>
        </is>
      </c>
      <c r="C19" s="17" t="inlineStr">
        <is>
          <t>BANK_TRANSFER_IBAN + BENEFICIARY</t>
        </is>
      </c>
      <c r="D19" s="17" t="inlineStr">
        <is>
          <t>Production boot</t>
        </is>
      </c>
      <c r="E19" s="17" t="inlineStr">
        <is>
          <t>None</t>
        </is>
      </c>
      <c r="F19" s="17" t="inlineStr">
        <is>
          <t>HANDOFF</t>
        </is>
      </c>
    </row>
    <row r="20" ht="23.85" customHeight="1" s="13">
      <c r="A20" s="16" t="inlineStr">
        <is>
          <t>Pre-existing</t>
        </is>
      </c>
      <c r="B20" s="16" t="inlineStr">
        <is>
          <t>-</t>
        </is>
      </c>
      <c r="C20" s="16" t="inlineStr">
        <is>
          <t>CLAMAV_SCAN_URL, CLOUDFLARE_IMAGES_SCAN_URL</t>
        </is>
      </c>
      <c r="D20" s="16" t="inlineStr">
        <is>
          <t>Production boot, media scanning</t>
        </is>
      </c>
      <c r="E20" s="16" t="inlineStr">
        <is>
          <t>None</t>
        </is>
      </c>
      <c r="F20" s="16" t="inlineStr">
        <is>
          <t>HANDOFF</t>
        </is>
      </c>
    </row>
    <row r="21" ht="15" customHeight="1" s="13">
      <c r="A21" s="17" t="inlineStr">
        <is>
          <t>Pre-existing</t>
        </is>
      </c>
      <c r="B21" s="17" t="inlineStr">
        <is>
          <t>-</t>
        </is>
      </c>
      <c r="C21" s="17" t="inlineStr">
        <is>
          <t>SENTRY_DSN + SENTRY_RELEASE</t>
        </is>
      </c>
      <c r="D21" s="17" t="inlineStr">
        <is>
          <t>Production boot</t>
        </is>
      </c>
      <c r="E21" s="17" t="inlineStr">
        <is>
          <t>None</t>
        </is>
      </c>
      <c r="F21" s="17" t="inlineStr">
        <is>
          <t>HANDOFF</t>
        </is>
      </c>
    </row>
    <row r="22" ht="15" customHeight="1" s="13">
      <c r="A22" s="16" t="inlineStr">
        <is>
          <t>Pre-existing</t>
        </is>
      </c>
      <c r="B22" s="16" t="inlineStr">
        <is>
          <t>-</t>
        </is>
      </c>
      <c r="C22" s="16" t="inlineStr">
        <is>
          <t>Apple Team ID, Android SHA-256 fingerprints</t>
        </is>
      </c>
      <c r="D22" s="16" t="inlineStr">
        <is>
          <t>Deep links</t>
        </is>
      </c>
      <c r="E22" s="16" t="inlineStr">
        <is>
          <t>Routes emit nothing useful</t>
        </is>
      </c>
      <c r="F22" s="16" t="inlineStr">
        <is>
          <t>HANDOFF</t>
        </is>
      </c>
    </row>
    <row r="23" ht="15" customHeight="1" s="13">
      <c r="A23" s="17" t="inlineStr">
        <is>
          <t>Pre-existing</t>
        </is>
      </c>
      <c r="B23" s="17" t="inlineStr">
        <is>
          <t>-</t>
        </is>
      </c>
      <c r="C23" s="17" t="inlineStr">
        <is>
          <t>EAS project id + signing credentials</t>
        </is>
      </c>
      <c r="D23" s="17" t="inlineStr">
        <is>
          <t>Mobile release</t>
        </is>
      </c>
      <c r="E23" s="17" t="inlineStr">
        <is>
          <t>None</t>
        </is>
      </c>
      <c r="F23" s="17" t="inlineStr">
        <is>
          <t>HANDOFF</t>
        </is>
      </c>
    </row>
    <row r="24" ht="15" customHeight="1" s="13">
      <c r="A24" s="16" t="inlineStr">
        <is>
          <t>Pre-existing</t>
        </is>
      </c>
      <c r="B24" s="16" t="inlineStr">
        <is>
          <t>-</t>
        </is>
      </c>
      <c r="C24" s="16" t="inlineStr">
        <is>
          <t>Both Render crons with INTERNAL_CRON_TOKEN</t>
        </is>
      </c>
      <c r="D24" s="16" t="inlineStr">
        <is>
          <t>Retention, Karama decay</t>
        </is>
      </c>
      <c r="E24" s="16" t="inlineStr">
        <is>
          <t>None</t>
        </is>
      </c>
      <c r="F24" s="16" t="inlineStr">
        <is>
          <t>HANDOFF</t>
        </is>
      </c>
    </row>
    <row r="25" ht="15" customHeight="1" s="13">
      <c r="A25" s="17" t="inlineStr">
        <is>
          <t>Pre-existing</t>
        </is>
      </c>
      <c r="B25" s="17" t="inlineStr">
        <is>
          <t>-</t>
        </is>
      </c>
      <c r="C25" s="17" t="inlineStr">
        <is>
          <t>Staging API hostname recorded in docs/deployment.md</t>
        </is>
      </c>
      <c r="D25" s="17" t="inlineStr">
        <is>
          <t>Pre-flight steps 6-7</t>
        </is>
      </c>
      <c r="E25" s="17" t="inlineStr">
        <is>
          <t>None</t>
        </is>
      </c>
      <c r="F25" s="17" t="inlineStr">
        <is>
          <t>HANDOFF</t>
        </is>
      </c>
    </row>
    <row r="26" ht="15" customHeight="1" s="13">
      <c r="A26" s="16" t="inlineStr">
        <is>
          <t>Pre-existing</t>
        </is>
      </c>
      <c r="B26" s="16" t="inlineStr">
        <is>
          <t>-</t>
        </is>
      </c>
      <c r="C26" s="16" t="inlineStr">
        <is>
          <t>Physical-device smoke evidence</t>
        </is>
      </c>
      <c r="D26" s="16" t="inlineStr">
        <is>
          <t>Expo 54-&gt;57, release confidence</t>
        </is>
      </c>
      <c r="E26" s="16" t="inlineStr">
        <is>
          <t>Emulator evidence, which is not the same</t>
        </is>
      </c>
      <c r="F26" s="16" t="inlineStr">
        <is>
          <t>HANDOFF</t>
        </is>
      </c>
    </row>
    <row r="27" ht="15" customHeight="1" s="13">
      <c r="A27" s="17" t="inlineStr">
        <is>
          <t>Pre-existing</t>
        </is>
      </c>
      <c r="B27" s="17" t="inlineStr">
        <is>
          <t>-</t>
        </is>
      </c>
      <c r="C27" s="17" t="inlineStr">
        <is>
          <t>Native-speaker review of 47 collected strings</t>
        </is>
      </c>
      <c r="D27" s="17" t="inlineStr">
        <is>
          <t>Copy quality</t>
        </is>
      </c>
      <c r="E27" s="17" t="inlineStr">
        <is>
          <t>None</t>
        </is>
      </c>
      <c r="F27" s="17" t="inlineStr">
        <is>
          <t>HANDOFF</t>
        </is>
      </c>
    </row>
    <row r="28" ht="15" customHeight="1" s="13">
      <c r="A28" s="16" t="inlineStr">
        <is>
          <t>Pre-existing</t>
        </is>
      </c>
      <c r="B28" s="16" t="inlineStr">
        <is>
          <t>-</t>
        </is>
      </c>
      <c r="C28" s="16" t="inlineStr">
        <is>
          <t>Legal counsel review of legal-copy.tsx v0.1</t>
        </is>
      </c>
      <c r="D28" s="16" t="inlineStr">
        <is>
          <t>App-store review, real users</t>
        </is>
      </c>
      <c r="E28" s="16" t="inlineStr">
        <is>
          <t>None</t>
        </is>
      </c>
      <c r="F28" s="16" t="inlineStr">
        <is>
          <t>HANDOFF</t>
        </is>
      </c>
    </row>
    <row r="29"/>
    <row r="30" ht="45.75" customHeight="1" s="13">
      <c r="A30" s="18" t="inlineStr">
        <is>
          <t>Every item has a designed fallback that is honest to the user about what is unavailable and why. That is the difference between a gated feature and a stub. NONE of these blocks any phase.</t>
        </is>
      </c>
    </row>
  </sheetData>
  <mergeCells count="1">
    <mergeCell ref="A30:F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2" min="1" max="1"/>
    <col width="32" customWidth="1" style="12" min="2" max="2"/>
    <col width="18" customWidth="1" style="12" min="3" max="3"/>
    <col width="64" customWidth="1" style="12" min="4" max="4"/>
    <col width="58" customWidth="1" style="12" min="5" max="5"/>
  </cols>
  <sheetData>
    <row r="1" ht="17.35" customHeight="1" s="13">
      <c r="A1" s="14" t="inlineStr">
        <is>
          <t>Execution phases</t>
        </is>
      </c>
    </row>
    <row r="2"/>
    <row r="3" ht="30" customHeight="1" s="13">
      <c r="A3" s="15" t="inlineStr">
        <is>
          <t>Phase</t>
        </is>
      </c>
      <c r="B3" s="15" t="inlineStr">
        <is>
          <t>Name</t>
        </is>
      </c>
      <c r="C3" s="15" t="inlineStr">
        <is>
          <t>Workstreams</t>
        </is>
      </c>
      <c r="D3" s="15" t="inlineStr">
        <is>
          <t>Contents</t>
        </is>
      </c>
      <c r="E3" s="15" t="inlineStr">
        <is>
          <t>Exit criterion</t>
        </is>
      </c>
    </row>
    <row r="4" ht="15" customHeight="1" s="13">
      <c r="A4" s="16" t="inlineStr">
        <is>
          <t>P0</t>
        </is>
      </c>
      <c r="B4" s="16" t="inlineStr">
        <is>
          <t>Ground truth</t>
        </is>
      </c>
      <c r="C4" s="16" t="inlineStr">
        <is>
          <t>-</t>
        </is>
      </c>
      <c r="D4" s="16" t="inlineStr">
        <is>
          <t>Stale docs, dead i18n keys, PS data, two new gates</t>
        </is>
      </c>
      <c r="E4" s="16" t="inlineStr">
        <is>
          <t>All nine gates pass; zero dead keys</t>
        </is>
      </c>
    </row>
    <row r="5" ht="15" customHeight="1" s="13">
      <c r="A5" s="17" t="inlineStr">
        <is>
          <t>P1</t>
        </is>
      </c>
      <c r="B5" s="17" t="inlineStr">
        <is>
          <t>Low-bandwidth foundation</t>
        </is>
      </c>
      <c r="C5" s="17" t="inlineStr">
        <is>
          <t>WS-11</t>
        </is>
      </c>
      <c r="D5" s="17" t="inlineStr">
        <is>
          <t>Modes, payload budgets, outbox, idempotency, resumable uploads</t>
        </is>
      </c>
      <c r="E5" s="17" t="inlineStr">
        <is>
          <t>Budget spec passes at 7 endpoints; 2G journeys complete</t>
        </is>
      </c>
    </row>
    <row r="6" ht="15" customHeight="1" s="13">
      <c r="A6" s="16" t="inlineStr">
        <is>
          <t>P2</t>
        </is>
      </c>
      <c r="B6" s="16" t="inlineStr">
        <is>
          <t>The graph</t>
        </is>
      </c>
      <c r="C6" s="16" t="inlineStr">
        <is>
          <t>WS-02</t>
        </is>
      </c>
      <c r="D6" s="16" t="inlineStr">
        <is>
          <t>Follow, degree, mutuals, discovery, restrict, mute</t>
        </is>
      </c>
      <c r="E6" s="16" t="inlineStr">
        <is>
          <t>Ranking purity on discovery; no feed p95 regression</t>
        </is>
      </c>
    </row>
    <row r="7" ht="15" customHeight="1" s="13">
      <c r="A7" s="17" t="inlineStr">
        <is>
          <t>P3</t>
        </is>
      </c>
      <c r="B7" s="17" t="inlineStr">
        <is>
          <t>Identity and evidence</t>
        </is>
      </c>
      <c r="C7" s="17" t="inlineStr">
        <is>
          <t>WS-01</t>
        </is>
      </c>
      <c r="D7" s="17" t="inlineStr">
        <is>
          <t>Verification, sections, recommendations, Standing engine, CV PDF</t>
        </is>
      </c>
      <c r="E7" s="17" t="inlineStr">
        <is>
          <t>All §5.9 tests; HANDOFF gaps #5, #6 closed</t>
        </is>
      </c>
    </row>
    <row r="8" ht="15" customHeight="1" s="13">
      <c r="A8" s="16" t="inlineStr">
        <is>
          <t>P4</t>
        </is>
      </c>
      <c r="B8" s="16" t="inlineStr">
        <is>
          <t>Content and messaging</t>
        </is>
      </c>
      <c r="C8" s="16" t="inlineStr">
        <is>
          <t>WS-03, WS-10</t>
        </is>
      </c>
      <c r="D8" s="16" t="inlineStr">
        <is>
          <t>Mentions, polls, articles, newsletters, requests, voice, outreach</t>
        </is>
      </c>
      <c r="E8" s="16" t="inlineStr">
        <is>
          <t>One-parser/two-consumers snapshot; 24 KB budget holds</t>
        </is>
      </c>
    </row>
    <row r="9" ht="15" customHeight="1" s="13">
      <c r="A9" s="17" t="inlineStr">
        <is>
          <t>P5</t>
        </is>
      </c>
      <c r="B9" s="17" t="inlineStr">
        <is>
          <t>Feed engine and search</t>
        </is>
      </c>
      <c r="C9" s="17" t="inlineStr">
        <is>
          <t>WS-04, WS-13</t>
        </is>
      </c>
      <c r="D9" s="17" t="inlineStr">
        <is>
          <t>Topics, weights, slates, explainability, FTS, facets, INNER JOIN fix</t>
        </is>
      </c>
      <c r="E9" s="17" t="inlineStr">
        <is>
          <t>SQL/TS folding agreement; every slate entry has a reason</t>
        </is>
      </c>
    </row>
    <row r="10" ht="15" customHeight="1" s="13">
      <c r="A10" s="16" t="inlineStr">
        <is>
          <t>P6</t>
        </is>
      </c>
      <c r="B10" s="16" t="inlineStr">
        <is>
          <t>Hiring and safety</t>
        </is>
      </c>
      <c r="C10" s="16" t="inlineStr">
        <is>
          <t>WS-06, WS-12</t>
        </is>
      </c>
      <c r="D10" s="16" t="inlineStr">
        <is>
          <t>Requirements, match score, pipeline, verification, scam scanner, ratings</t>
        </is>
      </c>
      <c r="E10" s="16" t="inlineStr">
        <is>
          <t>Three fairness invariants; HANDOFF gaps #3, #4, #7 closed</t>
        </is>
      </c>
    </row>
    <row r="11" ht="15" customHeight="1" s="13">
      <c r="A11" s="17" t="inlineStr">
        <is>
          <t>P7</t>
        </is>
      </c>
      <c r="B11" s="17" t="inlineStr">
        <is>
          <t>Groups, events, notifications</t>
        </is>
      </c>
      <c r="C11" s="17" t="inlineStr">
        <is>
          <t>WS-05, WS-14</t>
        </is>
      </c>
      <c r="D11" s="17" t="inlineStr">
        <is>
          <t>Seeded groups, events, channel matrix, digest, SMS</t>
        </is>
      </c>
      <c r="E11" s="17" t="inlineStr">
        <is>
          <t>Exhaustive channel matrix; joinUrl leak test</t>
        </is>
      </c>
    </row>
    <row r="12" ht="15" customHeight="1" s="13">
      <c r="A12" s="16" t="inlineStr">
        <is>
          <t>P8</t>
        </is>
      </c>
      <c r="B12" s="16" t="inlineStr">
        <is>
          <t>Services</t>
        </is>
      </c>
      <c r="C12" s="16" t="inlineStr">
        <is>
          <t>WS-07</t>
        </is>
      </c>
      <c r="D12" s="16" t="inlineStr">
        <is>
          <t>Listings, inquiries, the WorkProof loop</t>
        </is>
      </c>
      <c r="E12" s="16" t="inlineStr">
        <is>
          <t>No-payment-field schema test (Rule 2)</t>
        </is>
      </c>
    </row>
    <row r="13" ht="15" customHeight="1" s="13">
      <c r="A13" s="17" t="inlineStr">
        <is>
          <t>P9</t>
        </is>
      </c>
      <c r="B13" s="17" t="inlineStr">
        <is>
          <t>Learning</t>
        </is>
      </c>
      <c r="C13" s="17" t="inlineStr">
        <is>
          <t>WS-08</t>
        </is>
      </c>
      <c r="D13" s="17" t="inlineStr">
        <is>
          <t>Paths, lessons, offline bundles, certificates</t>
        </is>
      </c>
      <c r="E13" s="17" t="inlineStr">
        <is>
          <t>Audio budget; certificate issued exactly once</t>
        </is>
      </c>
    </row>
    <row r="14" ht="15" customHeight="1" s="13">
      <c r="A14" s="16" t="inlineStr">
        <is>
          <t>P10</t>
        </is>
      </c>
      <c r="B14" s="16" t="inlineStr">
        <is>
          <t>Monetisation</t>
        </is>
      </c>
      <c r="C14" s="16" t="inlineStr">
        <is>
          <t>WS-09</t>
        </is>
      </c>
      <c r="D14" s="16" t="inlineStr">
        <is>
          <t>ILS catalog, three wallets, cash, FX, promotions, iOS gate</t>
        </is>
      </c>
      <c r="E14" s="16" t="inlineStr">
        <is>
          <t>JOD 3-decimal test; plan-features regex test</t>
        </is>
      </c>
    </row>
    <row r="15" ht="15" customHeight="1" s="13">
      <c r="A15" s="17" t="inlineStr">
        <is>
          <t>P11</t>
        </is>
      </c>
      <c r="B15" s="17" t="inlineStr">
        <is>
          <t>Redesign</t>
        </is>
      </c>
      <c r="C15" s="17" t="inlineStr">
        <is>
          <t>all</t>
        </is>
      </c>
      <c r="D15" s="17" t="inlineStr">
        <is>
          <t>promoted surface, contrast fix, 62 component pairs, أنا hub</t>
        </is>
      </c>
      <c r="E15" s="17" t="inlineStr">
        <is>
          <t>qa:design; lockstep &lt;= 4 entries; a11y on every route</t>
        </is>
      </c>
    </row>
    <row r="16"/>
    <row r="17" ht="45.75" customHeight="1" s="13">
      <c r="A17" s="18" t="inlineStr">
        <is>
          <t>Each phase leaves main green and is useful to a real user on its own. Stopping after P6 yields a complete, safe hiring platform; stopping after P3 yields a materially better professional network than today.</t>
        </is>
      </c>
    </row>
  </sheetData>
  <mergeCells count="1"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2" min="1" max="1"/>
    <col width="12" customWidth="1" style="12" min="2" max="4"/>
    <col width="54" customWidth="1" style="12" min="5" max="5"/>
  </cols>
  <sheetData>
    <row r="1" ht="17.35" customHeight="1" s="13">
      <c r="A1" s="14" t="inlineStr">
        <is>
          <t>Build scale — measured, not estimated</t>
        </is>
      </c>
    </row>
    <row r="2"/>
    <row r="3" ht="15" customHeight="1" s="13">
      <c r="A3" s="15" t="inlineStr">
        <is>
          <t>Artefact</t>
        </is>
      </c>
      <c r="B3" s="15" t="inlineStr">
        <is>
          <t>Before</t>
        </is>
      </c>
      <c r="C3" s="15" t="inlineStr">
        <is>
          <t>Added</t>
        </is>
      </c>
      <c r="D3" s="15" t="inlineStr">
        <is>
          <t>After</t>
        </is>
      </c>
      <c r="E3" s="15" t="inlineStr">
        <is>
          <t>Source of the count</t>
        </is>
      </c>
    </row>
    <row r="4" ht="15" customHeight="1" s="13">
      <c r="A4" s="16" t="inlineStr">
        <is>
          <t>Prisma models</t>
        </is>
      </c>
      <c r="B4" s="16" t="n">
        <v>44</v>
      </c>
      <c r="C4" s="16" t="n">
        <v>41</v>
      </c>
      <c r="D4" s="21">
        <f>B4+C4</f>
        <v/>
      </c>
      <c r="E4" s="16" t="inlineStr">
        <is>
          <t>Repo scan; spec/schema.delta.prisma</t>
        </is>
      </c>
    </row>
    <row r="5" ht="15" customHeight="1" s="13">
      <c r="A5" s="17" t="inlineStr">
        <is>
          <t>Prisma enums</t>
        </is>
      </c>
      <c r="B5" s="17" t="n">
        <v>29</v>
      </c>
      <c r="C5" s="17" t="n">
        <v>17</v>
      </c>
      <c r="D5" s="24">
        <f>B5+C5</f>
        <v/>
      </c>
      <c r="E5" s="17" t="inlineStr">
        <is>
          <t>Repo scan; spec/schema.delta.prisma</t>
        </is>
      </c>
    </row>
    <row r="6" ht="15" customHeight="1" s="13">
      <c r="A6" s="16" t="inlineStr">
        <is>
          <t>Pinned API routes</t>
        </is>
      </c>
      <c r="B6" s="16" t="n">
        <v>137</v>
      </c>
      <c r="C6" s="16" t="n">
        <v>188</v>
      </c>
      <c r="D6" s="21">
        <f>B6+C6</f>
        <v/>
      </c>
      <c r="E6" s="16" t="inlineStr">
        <is>
          <t>api-route-coverage.spec.ts; spec/FILE-MANIFEST.json</t>
        </is>
      </c>
    </row>
    <row r="7" ht="15" customHeight="1" s="13">
      <c r="A7" s="17" t="inlineStr">
        <is>
          <t>Public API routes</t>
        </is>
      </c>
      <c r="B7" s="17" t="n">
        <v>17</v>
      </c>
      <c r="C7" s="17" t="n">
        <v>12</v>
      </c>
      <c r="D7" s="24">
        <f>B7+C7</f>
        <v/>
      </c>
      <c r="E7" s="17" t="inlineStr">
        <is>
          <t>EXPECTED_PUBLIC_ROUTES; spec/FILE-MANIFEST.json</t>
        </is>
      </c>
    </row>
    <row r="8" ht="15" customHeight="1" s="13">
      <c r="A8" s="16" t="inlineStr">
        <is>
          <t>i18n keys per catalog</t>
        </is>
      </c>
      <c r="B8" s="16" t="n">
        <v>979</v>
      </c>
      <c r="C8" s="16" t="n">
        <v>1406</v>
      </c>
      <c r="D8" s="21">
        <f>B8+C8</f>
        <v/>
      </c>
      <c r="E8" s="16" t="inlineStr">
        <is>
          <t>Catalog scan; spec/i18n-keys.manifest.json</t>
        </is>
      </c>
    </row>
    <row r="9" ht="15" customHeight="1" s="13">
      <c r="A9" s="17" t="inlineStr">
        <is>
          <t>i18n namespaces (web)</t>
        </is>
      </c>
      <c r="B9" s="17" t="n">
        <v>32</v>
      </c>
      <c r="C9" s="17" t="n">
        <v>22</v>
      </c>
      <c r="D9" s="24">
        <f>B9+C9</f>
        <v/>
      </c>
      <c r="E9" s="17" t="inlineStr">
        <is>
          <t>Catalog scan; spec/i18n-keys.manifest.json</t>
        </is>
      </c>
    </row>
    <row r="10" ht="15" customHeight="1" s="13">
      <c r="A10" s="16" t="inlineStr">
        <is>
          <t>Design-system component pairs</t>
        </is>
      </c>
      <c r="B10" s="16" t="n">
        <v>0</v>
      </c>
      <c r="C10" s="16" t="n">
        <v>62</v>
      </c>
      <c r="D10" s="21">
        <f>B10+C10</f>
        <v/>
      </c>
      <c r="E10" s="16" t="inlineStr">
        <is>
          <t>Design redesign spec §D</t>
        </is>
      </c>
    </row>
    <row r="11" ht="15" customHeight="1" s="13">
      <c r="A11" s="17" t="inlineStr">
        <is>
          <t>Governorates</t>
        </is>
      </c>
      <c r="B11" s="17" t="n">
        <v>13</v>
      </c>
      <c r="C11" s="17" t="n">
        <v>3</v>
      </c>
      <c r="D11" s="24">
        <f>B11+C11</f>
        <v/>
      </c>
      <c r="E11" s="17" t="inlineStr">
        <is>
          <t>spec/palestine-governorates.delta.ts</t>
        </is>
      </c>
    </row>
    <row r="12" ht="15" customHeight="1" s="13">
      <c r="A12" s="16" t="inlineStr">
        <is>
          <t>Cities</t>
        </is>
      </c>
      <c r="B12" s="16" t="n">
        <v>14</v>
      </c>
      <c r="C12" s="16" t="n">
        <v>79</v>
      </c>
      <c r="D12" s="21">
        <f>B12+C12</f>
        <v/>
      </c>
      <c r="E12" s="16" t="inlineStr">
        <is>
          <t>spec/palestine-governorates.delta.ts</t>
        </is>
      </c>
    </row>
    <row r="13" ht="15" customHeight="1" s="13">
      <c r="A13" s="17" t="inlineStr">
        <is>
          <t>Universities / issuers</t>
        </is>
      </c>
      <c r="B13" s="17" t="n">
        <v>10</v>
      </c>
      <c r="C13" s="17" t="n">
        <v>12</v>
      </c>
      <c r="D13" s="24">
        <f>B13+C13</f>
        <v/>
      </c>
      <c r="E13" s="17" t="inlineStr">
        <is>
          <t>spec/palestine-universities.delta.ts</t>
        </is>
      </c>
    </row>
    <row r="14" ht="15" customHeight="1" s="13">
      <c r="A14" s="16" t="inlineStr">
        <is>
          <t>CI gates</t>
        </is>
      </c>
      <c r="B14" s="16" t="n">
        <v>7</v>
      </c>
      <c r="C14" s="16" t="n">
        <v>2</v>
      </c>
      <c r="D14" s="21">
        <f>B14+C14</f>
        <v/>
      </c>
      <c r="E14" s="16" t="inlineStr">
        <is>
          <t>check-ranking-purity.mjs, check-deprecations.mjs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2026-08-08T16:35:12Z</dcterms:created>
  <dcterms:modified xmlns:dcterms="http://purl.org/dc/terms/" xmlns:xsi="http://www.w3.org/2001/XMLSchema-instance" xsi:type="dcterms:W3CDTF">2026-08-08T16:39:07Z</dcterms:modified>
  <cp:revision>0</cp:revision>
</cp:coreProperties>
</file>